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GeoDT_5\Oct2024\documentation\"/>
    </mc:Choice>
  </mc:AlternateContent>
  <xr:revisionPtr revIDLastSave="0" documentId="13_ncr:1_{574715ED-C395-4646-8273-4AB0A0945E4E}" xr6:coauthVersionLast="47" xr6:coauthVersionMax="47" xr10:uidLastSave="{00000000-0000-0000-0000-000000000000}"/>
  <bookViews>
    <workbookView xWindow="38385" yWindow="0" windowWidth="38385" windowHeight="21000" xr2:uid="{D916F934-87AF-4460-88FE-96A98CAD288A}"/>
  </bookViews>
  <sheets>
    <sheet name="Description" sheetId="1" r:id="rId1"/>
    <sheet name="TULAROSA.gts" sheetId="10" r:id="rId2"/>
    <sheet name="DEFAULT.gts" sheetId="8" r:id="rId3"/>
    <sheet name="FULL.gts" sheetId="2" r:id="rId4"/>
    <sheet name="FORGE.gts" sheetId="7" r:id="rId5"/>
    <sheet name="PRED.gt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3" i="1"/>
  <c r="E92" i="1"/>
  <c r="E91" i="1"/>
  <c r="E81" i="1"/>
  <c r="E77" i="1"/>
  <c r="D77" i="1"/>
  <c r="E76" i="1"/>
  <c r="D76" i="1"/>
  <c r="E75" i="1"/>
  <c r="D75" i="1"/>
  <c r="D74" i="1"/>
  <c r="E74" i="1"/>
  <c r="D43" i="1"/>
  <c r="E44" i="1"/>
  <c r="D44" i="1"/>
  <c r="E43" i="1"/>
  <c r="E42" i="1"/>
  <c r="D42" i="1"/>
  <c r="E41" i="1"/>
  <c r="E40" i="1"/>
  <c r="D40" i="1"/>
  <c r="E39" i="1"/>
  <c r="E19" i="1"/>
  <c r="D19" i="1"/>
  <c r="E18" i="1"/>
  <c r="D18" i="1"/>
  <c r="E17" i="1"/>
  <c r="E16" i="1"/>
  <c r="E15" i="1"/>
</calcChain>
</file>

<file path=xl/sharedStrings.xml><?xml version="1.0" encoding="utf-8"?>
<sst xmlns="http://schemas.openxmlformats.org/spreadsheetml/2006/main" count="1713" uniqueCount="480">
  <si>
    <t>SourceDirectory</t>
  </si>
  <si>
    <t>TargetDirectory</t>
  </si>
  <si>
    <t>DiscreteFractures</t>
  </si>
  <si>
    <t>Iterations</t>
  </si>
  <si>
    <t>Design</t>
  </si>
  <si>
    <t>Target</t>
  </si>
  <si>
    <t>Stim</t>
  </si>
  <si>
    <t>TargetTemp</t>
  </si>
  <si>
    <t>TargetDepth</t>
  </si>
  <si>
    <t>ProducerCount</t>
  </si>
  <si>
    <t>Spacing</t>
  </si>
  <si>
    <t>DeviatedLength</t>
  </si>
  <si>
    <t>ProducerProportion</t>
  </si>
  <si>
    <t>Azimuth</t>
  </si>
  <si>
    <t>Dip</t>
  </si>
  <si>
    <t>RotationPhase</t>
  </si>
  <si>
    <t>RotationToe</t>
  </si>
  <si>
    <t>RotationSkew</t>
  </si>
  <si>
    <t>HydraulicRadius</t>
  </si>
  <si>
    <t>CasingRadius</t>
  </si>
  <si>
    <t>BoreRadius</t>
  </si>
  <si>
    <t>Roughness</t>
  </si>
  <si>
    <t>InjectionRate</t>
  </si>
  <si>
    <t>TargetVolume</t>
  </si>
  <si>
    <t>TargetRadius</t>
  </si>
  <si>
    <t>Size</t>
  </si>
  <si>
    <t>ThermalGradient</t>
  </si>
  <si>
    <t>Density</t>
  </si>
  <si>
    <t>ThermalConductivity</t>
  </si>
  <si>
    <t>HeatCapacity</t>
  </si>
  <si>
    <t>Temperature</t>
  </si>
  <si>
    <t>Pressure</t>
  </si>
  <si>
    <t>YoungsModulus</t>
  </si>
  <si>
    <t>PoissonRatio</t>
  </si>
  <si>
    <t>Coefficient</t>
  </si>
  <si>
    <t>Variance</t>
  </si>
  <si>
    <t>SlipLengthMin</t>
  </si>
  <si>
    <t>SlipLengthNom</t>
  </si>
  <si>
    <t>SlipLengthMax</t>
  </si>
  <si>
    <t>DilationSlipMin</t>
  </si>
  <si>
    <t>DilationSlipNom</t>
  </si>
  <si>
    <t>DilationSlipMax</t>
  </si>
  <si>
    <t>HydraulicDilationMin</t>
  </si>
  <si>
    <t>HydraulicDilationNom</t>
  </si>
  <si>
    <t>HydraulicDilationMax</t>
  </si>
  <si>
    <t>CompressibilityMin</t>
  </si>
  <si>
    <t>CompressibilityNom</t>
  </si>
  <si>
    <t>CompressibilityMax</t>
  </si>
  <si>
    <t>InitialHydraulicApertureMin</t>
  </si>
  <si>
    <t>InitialHydraulicApertureNom</t>
  </si>
  <si>
    <t>InitialHydraulicApertureMax</t>
  </si>
  <si>
    <t>BoundaryAperture</t>
  </si>
  <si>
    <t>TortuosityMin</t>
  </si>
  <si>
    <t>TortuosityNom</t>
  </si>
  <si>
    <t>TortuosityMax</t>
  </si>
  <si>
    <t>GeneralEfficiency</t>
  </si>
  <si>
    <t>LifeSpan</t>
  </si>
  <si>
    <t>TimeSteps</t>
  </si>
  <si>
    <t>Backpressure</t>
  </si>
  <si>
    <t>InjectionTemperature</t>
  </si>
  <si>
    <t>ConvectionCoefficient</t>
  </si>
  <si>
    <t>NominalDensity</t>
  </si>
  <si>
    <t>Viscosity</t>
  </si>
  <si>
    <t>Permeability</t>
  </si>
  <si>
    <t>InitialPermeabilityMin</t>
  </si>
  <si>
    <t>InitialPermeabilityNom</t>
  </si>
  <si>
    <t>InitialPermeabilityMax</t>
  </si>
  <si>
    <t>Set1</t>
  </si>
  <si>
    <t>Set2</t>
  </si>
  <si>
    <t>Set3</t>
  </si>
  <si>
    <t>DiameterMin</t>
  </si>
  <si>
    <t>DiameterMax</t>
  </si>
  <si>
    <t>Clusters</t>
  </si>
  <si>
    <t>PerfDiameter</t>
  </si>
  <si>
    <t>PerfPerCluster</t>
  </si>
  <si>
    <t>ProppantConcentration</t>
  </si>
  <si>
    <t>PressureIncrement</t>
  </si>
  <si>
    <t>StimulationLimit</t>
  </si>
  <si>
    <t>AllowableOverpressure</t>
  </si>
  <si>
    <t>FrictionAngleMin</t>
  </si>
  <si>
    <t>FrictionAngleNom</t>
  </si>
  <si>
    <t>FrictionAngleMax</t>
  </si>
  <si>
    <t>CohesionMin</t>
  </si>
  <si>
    <t>CohesionNom</t>
  </si>
  <si>
    <t>CohesionMax</t>
  </si>
  <si>
    <t>Cohesion</t>
  </si>
  <si>
    <t>FrictionAngle</t>
  </si>
  <si>
    <t>Toughness</t>
  </si>
  <si>
    <t>ElectricitySales</t>
  </si>
  <si>
    <t>DrillingCost</t>
  </si>
  <si>
    <t>AccessCost</t>
  </si>
  <si>
    <t>EquipmentCost</t>
  </si>
  <si>
    <t>ExplorationCost</t>
  </si>
  <si>
    <t>Maintenance</t>
  </si>
  <si>
    <t>Seismic</t>
  </si>
  <si>
    <t xml:space="preserve">units </t>
  </si>
  <si>
    <t xml:space="preserve">type </t>
  </si>
  <si>
    <t xml:space="preserve">K </t>
  </si>
  <si>
    <t xml:space="preserve">m </t>
  </si>
  <si>
    <t xml:space="preserve">wells </t>
  </si>
  <si>
    <t xml:space="preserve">ratio </t>
  </si>
  <si>
    <t xml:space="preserve">rad </t>
  </si>
  <si>
    <t xml:space="preserve">metric </t>
  </si>
  <si>
    <t xml:space="preserve">m3 </t>
  </si>
  <si>
    <t xml:space="preserve">Pa </t>
  </si>
  <si>
    <t xml:space="preserve">s </t>
  </si>
  <si>
    <t xml:space="preserve">steps </t>
  </si>
  <si>
    <t xml:space="preserve">m2 </t>
  </si>
  <si>
    <t xml:space="preserve">fractures </t>
  </si>
  <si>
    <t xml:space="preserve">clusters </t>
  </si>
  <si>
    <t xml:space="preserve">perfs </t>
  </si>
  <si>
    <t xml:space="preserve">USD </t>
  </si>
  <si>
    <t>Strategy</t>
  </si>
  <si>
    <t>Well</t>
  </si>
  <si>
    <t>Circulation</t>
  </si>
  <si>
    <t>Stimulation</t>
  </si>
  <si>
    <t>Domain</t>
  </si>
  <si>
    <t>Rock</t>
  </si>
  <si>
    <t>Air</t>
  </si>
  <si>
    <t>StressMin</t>
  </si>
  <si>
    <t>StressMax</t>
  </si>
  <si>
    <t>Fracture</t>
  </si>
  <si>
    <t>Proppant</t>
  </si>
  <si>
    <t>Cement</t>
  </si>
  <si>
    <t>Power</t>
  </si>
  <si>
    <t>Fluid</t>
  </si>
  <si>
    <t>JointSets</t>
  </si>
  <si>
    <t>Shear</t>
  </si>
  <si>
    <t>Tension</t>
  </si>
  <si>
    <t>Economics</t>
  </si>
  <si>
    <t>Property</t>
  </si>
  <si>
    <t>Family</t>
  </si>
  <si>
    <t>Units</t>
  </si>
  <si>
    <t xml:space="preserve">m3/s </t>
  </si>
  <si>
    <t xml:space="preserve">K/m </t>
  </si>
  <si>
    <t xml:space="preserve">kg/m3 </t>
  </si>
  <si>
    <t xml:space="preserve">W/mK </t>
  </si>
  <si>
    <t xml:space="preserve">kJ/m3K </t>
  </si>
  <si>
    <t xml:space="preserve">1/Pa </t>
  </si>
  <si>
    <t xml:space="preserve">kW/m2K </t>
  </si>
  <si>
    <t xml:space="preserve">m3/m3 </t>
  </si>
  <si>
    <t xml:space="preserve">USD/kWh </t>
  </si>
  <si>
    <t xml:space="preserve">USD/m </t>
  </si>
  <si>
    <t xml:space="preserve">USD/kW </t>
  </si>
  <si>
    <t xml:space="preserve">USD/Mw </t>
  </si>
  <si>
    <t xml:space="preserve">Pa-s </t>
  </si>
  <si>
    <t>Pa-m0.5</t>
  </si>
  <si>
    <t>none</t>
  </si>
  <si>
    <t>Min</t>
  </si>
  <si>
    <t>Max</t>
  </si>
  <si>
    <t>path</t>
  </si>
  <si>
    <t>ALL, AGS, EGS, CGS</t>
  </si>
  <si>
    <t>Description</t>
  </si>
  <si>
    <t>VOL, RAD</t>
  </si>
  <si>
    <t>TEMP, DEPTH</t>
  </si>
  <si>
    <t>input file for predefined fracture placement</t>
  </si>
  <si>
    <t>directory for results</t>
  </si>
  <si>
    <t>directory for instance of GeoDT</t>
  </si>
  <si>
    <t>number of simulations to model</t>
  </si>
  <si>
    <t>drilling and stimulation strategy</t>
  </si>
  <si>
    <t>drilling target strategy - desired depth or temperature</t>
  </si>
  <si>
    <t>number of production wells</t>
  </si>
  <si>
    <t>separation distance between parallel wells</t>
  </si>
  <si>
    <t>length of the deviated portion of the well</t>
  </si>
  <si>
    <t>ratio of the injection well's deviated lenth to the production wells</t>
  </si>
  <si>
    <t>stimulation strategy - by volume or fracture radius</t>
  </si>
  <si>
    <t>orientation of the injection well down from horizon</t>
  </si>
  <si>
    <t>orientation of the injection well east of north</t>
  </si>
  <si>
    <t>orientaion of first production well CW from horizon around injector's axis</t>
  </si>
  <si>
    <t>toe in of the production wells relative to the injector's axis</t>
  </si>
  <si>
    <t>out of plane skew of the well (used for spiral effect)</t>
  </si>
  <si>
    <t>hydraulic radius of the wells (inner diameter)</t>
  </si>
  <si>
    <t>outer radius of well casing (inner wall of cemented annulus)</t>
  </si>
  <si>
    <t>drilled radius of the well (cutter radius)</t>
  </si>
  <si>
    <t>Hazen-Williams pipe roughness coefficient - lower is higher friction</t>
  </si>
  <si>
    <t>target volumetric flow rate of water per injection well during circulation</t>
  </si>
  <si>
    <t>target volumetric flow rate of water per injection well during stimulation</t>
  </si>
  <si>
    <t>target stimulated fracture radius (used if Strategy_Stim_type == RAD)</t>
  </si>
  <si>
    <t>target injection volume during stimulation (used if Strategy_Stim_type == VOL)</t>
  </si>
  <si>
    <t>target reservoir temperature (used if Strategy_Target_type == TEMP)</t>
  </si>
  <si>
    <t>target reservoir depth (used if Strategy_Target_type == DEEP)</t>
  </si>
  <si>
    <t>half-width of the modeling domain represented by six conductive fractures</t>
  </si>
  <si>
    <t>rate of temperature increase with depth (i.e., geothermal gradient)</t>
  </si>
  <si>
    <t>nominal density of rock from surface to reservoir (typically near 2500)</t>
  </si>
  <si>
    <t>thermal conductivity of the reservoir rock (typically near 2.7)</t>
  </si>
  <si>
    <t>specific heat capacity of the reservoir rock (typically near 2000)</t>
  </si>
  <si>
    <t>ambient surface temperature</t>
  </si>
  <si>
    <t>ambient surface pressure</t>
  </si>
  <si>
    <t>lateral to vertical deformation modulus (i.e., Poisson's ratio)</t>
  </si>
  <si>
    <t>uniaxial elastic modulus of reservoir rock (i.e., Young's modulus)</t>
  </si>
  <si>
    <t>vertical to minimum horizontal effective stress (i.e., Coulomb earth pressure)</t>
  </si>
  <si>
    <t>vertical to maximum horizontal effective stress (i.e., Coulomb earth pressure)</t>
  </si>
  <si>
    <t>horizontal orientation of minimum principal stress east of north</t>
  </si>
  <si>
    <t>orientation of the minimum principal stress down from horizion</t>
  </si>
  <si>
    <t>variance of the orientation of minimum principal stress</t>
  </si>
  <si>
    <t>ratio of shear slip displacement to fracture length</t>
  </si>
  <si>
    <t>ratio of aperture dilation to shear slip displacement</t>
  </si>
  <si>
    <t>ratio of aperture dilation to shear slip displacement (nominally 0.2)</t>
  </si>
  <si>
    <t>ratio of shear slip displacement to fracture length (nominally 0.01)</t>
  </si>
  <si>
    <t>ratio of hydraulic aperture to aperture dilation</t>
  </si>
  <si>
    <t>ratio of hydraulic aperture to aperture dilation (nominally 0.6)</t>
  </si>
  <si>
    <t>fracture aperture compressibility as a function of normal stress</t>
  </si>
  <si>
    <t>fracture aperture compressibility as a function of normal stress (nominally 3e-8)</t>
  </si>
  <si>
    <t>proppant compressibility as a function of normal stress</t>
  </si>
  <si>
    <t>proppant compressibility as a function of normal stress (nominally 3e-8)</t>
  </si>
  <si>
    <t>initial natural fracture hydraulic aperture</t>
  </si>
  <si>
    <t>initial natural fracture hydraulic aperture (nominally 0.0001)</t>
  </si>
  <si>
    <t>hydraulic aperture of the model's domain boundaries that are treated as fractures</t>
  </si>
  <si>
    <t>aperture scaling coefficient to accommodate fracture complexity</t>
  </si>
  <si>
    <t>aperture scaling coefficient to accommodate fracture complexity (nominally 0.75)</t>
  </si>
  <si>
    <t>cement thermal conductivity (nominally 2.0)</t>
  </si>
  <si>
    <t>cement voplumetric heat capacity (nominally 2000)</t>
  </si>
  <si>
    <t>general efficiency of thermal-electric machinery (nominally 0.85)</t>
  </si>
  <si>
    <t>lifespan of the geothermal project (nominally 30 yr = 9.4673e8 s)</t>
  </si>
  <si>
    <t>number of time steps for the heat transfer solver (nominally 30)</t>
  </si>
  <si>
    <t>production wellhead pressure before choke (nominally 5e6)</t>
  </si>
  <si>
    <t>temperature of the injection wellhead (nominally 333)</t>
  </si>
  <si>
    <t>thermal convection coefficient inside of the casing (nominally 3.0)</t>
  </si>
  <si>
    <t>standard density of the injection fluid (nominally 965)</t>
  </si>
  <si>
    <t>standard viscosity of the injection fluid (nominally  0.2e-3)</t>
  </si>
  <si>
    <t>permeability of the rock matrix (nominally 1e-13)</t>
  </si>
  <si>
    <t>permeability of the proppant pack under zero confinement stress</t>
  </si>
  <si>
    <t>permeability of the proppant pack under zero confinement stress (nominally 1e-10)</t>
  </si>
  <si>
    <t>number of fractures in the dominant joint set</t>
  </si>
  <si>
    <t>number of fractures in the secondary joint set</t>
  </si>
  <si>
    <t>number of fractures in the tertiary joint set</t>
  </si>
  <si>
    <t>variance in the orientation of any joint set (nominally 0.122)</t>
  </si>
  <si>
    <t>minimum fracture diameter</t>
  </si>
  <si>
    <t>maximum fracture diameter</t>
  </si>
  <si>
    <t>number of stimulation clusters (also number of stimulated hydraulic fractures)</t>
  </si>
  <si>
    <t>diameter of perforations through well casing (nominally 0.013)</t>
  </si>
  <si>
    <t xml:space="preserve">number of perforations per stimulation cluster (nominally 6) </t>
  </si>
  <si>
    <t>volumetric concentration of sand in frac water (nominally 0.045)</t>
  </si>
  <si>
    <t>stimulation solver injection pressure increment per iteration (nominally 1e5)</t>
  </si>
  <si>
    <t>number of withheld pressure increments when stimulation is detected (nominally 1)</t>
  </si>
  <si>
    <t>allowable bottomhole pressure exceedance from minimum stress (nominally -1.4e6)</t>
  </si>
  <si>
    <t>shear friction expressed as an tangent's angle</t>
  </si>
  <si>
    <t>shear friction expressed as an tangent's angle (nominally 0.61)</t>
  </si>
  <si>
    <t>apparent shear cohesion per Mohr-Coulomb</t>
  </si>
  <si>
    <t>apparent shear cohesion per Mohr-Coulomb (nominally 7e6)</t>
  </si>
  <si>
    <t>tensile fracture cohesion (nominally 0.1e6)</t>
  </si>
  <si>
    <t>tensile fracture friction angle (nominally 0.53)</t>
  </si>
  <si>
    <t>tensile fracture toughness (nominally 1.5e6) - only used for validation</t>
  </si>
  <si>
    <t>sell price for electricity (nominally 0.1)</t>
  </si>
  <si>
    <t>average drilling cost (nominally 2763)</t>
  </si>
  <si>
    <t>site access fixed cost (nominally 590e3)</t>
  </si>
  <si>
    <t>cost of surface equipment such as pumps and turbines (nominally 2025)</t>
  </si>
  <si>
    <t>cost of exploration and resource characterization before drilling (nominally 2683)</t>
  </si>
  <si>
    <t>cost of surface equipment upkeep including labor (nominally 0.04)</t>
  </si>
  <si>
    <t>cost penalty coefficient when triggering a damaging earthquake (nominally 2e-4)</t>
  </si>
  <si>
    <t>cost penalty exponent when triggering a damaging earthquake (nominally 5.0)</t>
  </si>
  <si>
    <t>Strategy_SourceDirectory_path</t>
  </si>
  <si>
    <t>Strategy_TargetDirectory_path</t>
  </si>
  <si>
    <t>Strategy_DiscreteFractures_path</t>
  </si>
  <si>
    <t>Strategy_Iterations_units</t>
  </si>
  <si>
    <t>Strategy_Design_type</t>
  </si>
  <si>
    <t>Strategy_Target_type</t>
  </si>
  <si>
    <t>Strategy_Stim_type</t>
  </si>
  <si>
    <t>Well_TargetTemp_K</t>
  </si>
  <si>
    <t>Well_TargetDepth_m</t>
  </si>
  <si>
    <t>Well_ProducerCount_wells</t>
  </si>
  <si>
    <t>Well_Spacing_m</t>
  </si>
  <si>
    <t>Well_DeviatedLength_m</t>
  </si>
  <si>
    <t>Well_ProducerProportion_ratio</t>
  </si>
  <si>
    <t>Well_Azimuth_rad</t>
  </si>
  <si>
    <t>Well_Dip_rad</t>
  </si>
  <si>
    <t>Well_RotationPhase_rad</t>
  </si>
  <si>
    <t>Well_RotationToe_rad</t>
  </si>
  <si>
    <t>Well_RotationSkew_rad</t>
  </si>
  <si>
    <t>Well_HydraulicRadius_m</t>
  </si>
  <si>
    <t>Well_CasingRadius_m</t>
  </si>
  <si>
    <t>Well_BoreRadius_m</t>
  </si>
  <si>
    <t>Well_Roughness_metric</t>
  </si>
  <si>
    <t>Circulation_InjectionRate_m3ps</t>
  </si>
  <si>
    <t>Circulation_Backpressure_Pa</t>
  </si>
  <si>
    <t>Circulation_InjectionTemperature_K</t>
  </si>
  <si>
    <t>Circulation_AllowableOverpressure_Pa</t>
  </si>
  <si>
    <t>Stimulation_InjectionRate_m3ps</t>
  </si>
  <si>
    <t>Stimulation_TargetVolume_m3</t>
  </si>
  <si>
    <t>Stimulation_TargetRadius_m</t>
  </si>
  <si>
    <t>Stimulation_Clusters_clusters</t>
  </si>
  <si>
    <t>Stimulation_PerfDiameter_m</t>
  </si>
  <si>
    <t>Stimulation_PerfPerCluster_perfs</t>
  </si>
  <si>
    <t>Stimulation_ProppantConcentration_m3pm3</t>
  </si>
  <si>
    <t>Domain_Size_m</t>
  </si>
  <si>
    <t>Domain_BoundaryAperture_m</t>
  </si>
  <si>
    <t>Domain_TimeSteps_steps</t>
  </si>
  <si>
    <t>Domain_PressureIncrement_Pa</t>
  </si>
  <si>
    <t>Domain_StimulationLimit_steps</t>
  </si>
  <si>
    <t>Rock_ThermalGradient_Kpm</t>
  </si>
  <si>
    <t>Rock_Density_kgpm3</t>
  </si>
  <si>
    <t>Rock_ThermalConductivity_WpmK</t>
  </si>
  <si>
    <t>Rock_HeatCapacity_kJpm3K</t>
  </si>
  <si>
    <t>Rock_YoungsModulus_Pa</t>
  </si>
  <si>
    <t>Rock_PoissonRatio_ratio</t>
  </si>
  <si>
    <t>Rock_Permeability_m2</t>
  </si>
  <si>
    <t>Air_Temperature_K</t>
  </si>
  <si>
    <t>Air_Pressure_Pa</t>
  </si>
  <si>
    <t>StressMin_Coefficient_ratio</t>
  </si>
  <si>
    <t>StressMin_Azimuth_rad</t>
  </si>
  <si>
    <t>StressMin_Dip_rad</t>
  </si>
  <si>
    <t>StressMin_Variance_rad</t>
  </si>
  <si>
    <t>StressMax_Coefficient_ratio</t>
  </si>
  <si>
    <t>Fracture_SlipLengthMin_ratio</t>
  </si>
  <si>
    <t>Fracture_SlipLengthNom_ratio</t>
  </si>
  <si>
    <t>Fracture_SlipLengthMax_ratio</t>
  </si>
  <si>
    <t>Fracture_DilationSlipMin_ratio</t>
  </si>
  <si>
    <t>Fracture_DilationSlipNom_ratio</t>
  </si>
  <si>
    <t>Fracture_DilationSlipMax_ratio</t>
  </si>
  <si>
    <t>Fracture_HydraulicDilationMin_ratio</t>
  </si>
  <si>
    <t>Fracture_HydraulicDilationNom_ratio</t>
  </si>
  <si>
    <t>Fracture_HydraulicDilationMax_ratio</t>
  </si>
  <si>
    <t>Fracture_CompressibilityMin_1pPa</t>
  </si>
  <si>
    <t>Fracture_CompressibilityNom_1pPa</t>
  </si>
  <si>
    <t>Fracture_CompressibilityMax_1pPa</t>
  </si>
  <si>
    <t>Fracture_InitialHydraulicApertureMin_m</t>
  </si>
  <si>
    <t>Fracture_InitialHydraulicApertureNom_m</t>
  </si>
  <si>
    <t>Fracture_InitialHydraulicApertureMax_m</t>
  </si>
  <si>
    <t>Fracture_TortuosityMin_ratio</t>
  </si>
  <si>
    <t>Fracture_TortuosityNom_ratio</t>
  </si>
  <si>
    <t>Fracture_TortuosityMax_ratio</t>
  </si>
  <si>
    <t>Proppant_CompressibilityMin_1pPa</t>
  </si>
  <si>
    <t>Proppant_CompressibilityNom_1pPa</t>
  </si>
  <si>
    <t>Proppant_CompressibilityMax_1pPa</t>
  </si>
  <si>
    <t>Proppant_InitialPermeabilityMin_m2</t>
  </si>
  <si>
    <t>Proppant_InitialPermeabilityNom_m2</t>
  </si>
  <si>
    <t>Proppant_InitialPermeabilityMax_m2</t>
  </si>
  <si>
    <t>Cement_ThermalConductivity_WpmK</t>
  </si>
  <si>
    <t>Cement_HeatCapacity_kJpm3K</t>
  </si>
  <si>
    <t>Power_GeneralEfficiency_ratio</t>
  </si>
  <si>
    <t>Power_LifeSpan_s</t>
  </si>
  <si>
    <t>Power_ConvectionCoefficient_kWpm2K</t>
  </si>
  <si>
    <t>Fluid_NominalDensity_kgpm3</t>
  </si>
  <si>
    <t>Fluid_Viscosity_Pas</t>
  </si>
  <si>
    <t>JointSets_Set1_fractures</t>
  </si>
  <si>
    <t>JointSets_Set2_fractures</t>
  </si>
  <si>
    <t>JointSets_Set3_fractures</t>
  </si>
  <si>
    <t>JointSets_Variance_rad</t>
  </si>
  <si>
    <t>JointSets_DiameterMin_m</t>
  </si>
  <si>
    <t>JointSets_DiameterMax_m</t>
  </si>
  <si>
    <t>Shear_FrictionAngleMin_rad</t>
  </si>
  <si>
    <t>Shear_FrictionAngleNom_rad</t>
  </si>
  <si>
    <t>Shear_FrictionAngleMax_rad</t>
  </si>
  <si>
    <t>Shear_CohesionMin_Pa</t>
  </si>
  <si>
    <t>Shear_CohesionNom_Pa</t>
  </si>
  <si>
    <t>Shear_CohesionMax_Pa</t>
  </si>
  <si>
    <t>Tension_Cohesion_Pa</t>
  </si>
  <si>
    <t>Tension_FrictionAngle_rad</t>
  </si>
  <si>
    <t>Tension_Toughness_Pasqrtm</t>
  </si>
  <si>
    <t>Economics_ElectricitySales_USDpkWh</t>
  </si>
  <si>
    <t>Economics_DrillingCost_USDpm</t>
  </si>
  <si>
    <t>Economics_AccessCost_USD</t>
  </si>
  <si>
    <t>Economics_EquipmentCost_USDpkW</t>
  </si>
  <si>
    <t>Economics_ExplorationCost_USDpm</t>
  </si>
  <si>
    <t>Economics_Maintenance_USDpkWh</t>
  </si>
  <si>
    <t>Economics_Seismic_USDpMw</t>
  </si>
  <si>
    <t>Economics_Seismic_exp</t>
  </si>
  <si>
    <t>ALL</t>
  </si>
  <si>
    <t>uniform</t>
  </si>
  <si>
    <t>loguniform</t>
  </si>
  <si>
    <t>DEPTH</t>
  </si>
  <si>
    <t>VOL</t>
  </si>
  <si>
    <t>EGS</t>
  </si>
  <si>
    <t>C:\Python\software\GeoDT\Aug2024</t>
  </si>
  <si>
    <t>C:\Python\scratch\default</t>
  </si>
  <si>
    <t>C:\Python\scratch\default\dfn.csv</t>
  </si>
  <si>
    <t>Deep</t>
  </si>
  <si>
    <t>Volu</t>
  </si>
  <si>
    <t>RADI</t>
  </si>
  <si>
    <t>C:\Python\GeoDT_5\Oct2024</t>
  </si>
  <si>
    <t>C:\Python\test6</t>
  </si>
  <si>
    <t>CGS</t>
  </si>
  <si>
    <t>VOLU</t>
  </si>
  <si>
    <t>K</t>
  </si>
  <si>
    <t>m</t>
  </si>
  <si>
    <t>m3</t>
  </si>
  <si>
    <t>s</t>
  </si>
  <si>
    <t>Net</t>
  </si>
  <si>
    <t>kW</t>
  </si>
  <si>
    <t>NetPresentValue</t>
  </si>
  <si>
    <t>LCOE</t>
  </si>
  <si>
    <t>Injection</t>
  </si>
  <si>
    <t>MPa</t>
  </si>
  <si>
    <t>Rate</t>
  </si>
  <si>
    <t>Bulk</t>
  </si>
  <si>
    <t>Pump</t>
  </si>
  <si>
    <t>Thermal</t>
  </si>
  <si>
    <t>Enthalpy</t>
  </si>
  <si>
    <t>PressureLimit</t>
  </si>
  <si>
    <t>Production</t>
  </si>
  <si>
    <t>Capital</t>
  </si>
  <si>
    <t>Upkeep</t>
  </si>
  <si>
    <t>QuakeRisk</t>
  </si>
  <si>
    <t>PowerProfit</t>
  </si>
  <si>
    <t>BulkSales</t>
  </si>
  <si>
    <t>Drilling</t>
  </si>
  <si>
    <t>TotalLength</t>
  </si>
  <si>
    <t>BottomTemperature</t>
  </si>
  <si>
    <t>BottomPressure</t>
  </si>
  <si>
    <t>WellDiameter</t>
  </si>
  <si>
    <t>CasingWeight</t>
  </si>
  <si>
    <t>CementVolume</t>
  </si>
  <si>
    <t>SandMass</t>
  </si>
  <si>
    <t>kg</t>
  </si>
  <si>
    <t>WaterVolume</t>
  </si>
  <si>
    <t>PumpPressure</t>
  </si>
  <si>
    <t>WorkingVolume</t>
  </si>
  <si>
    <t>Recovery</t>
  </si>
  <si>
    <t>pct</t>
  </si>
  <si>
    <t>MakeupWater</t>
  </si>
  <si>
    <t>Stress</t>
  </si>
  <si>
    <t>s3</t>
  </si>
  <si>
    <t>s2</t>
  </si>
  <si>
    <t>s1</t>
  </si>
  <si>
    <t>pp</t>
  </si>
  <si>
    <t>Seismicity</t>
  </si>
  <si>
    <t>MaxQuake</t>
  </si>
  <si>
    <t>Mw</t>
  </si>
  <si>
    <t>NumQuake</t>
  </si>
  <si>
    <t>ea</t>
  </si>
  <si>
    <t>Fractures</t>
  </si>
  <si>
    <t>ShearStim</t>
  </si>
  <si>
    <t>HydroStim</t>
  </si>
  <si>
    <t>Hydroprop</t>
  </si>
  <si>
    <t>Series</t>
  </si>
  <si>
    <t>Time</t>
  </si>
  <si>
    <t>$</t>
  </si>
  <si>
    <t>$/MWh</t>
  </si>
  <si>
    <t>kg/s</t>
  </si>
  <si>
    <t>kJ/kg</t>
  </si>
  <si>
    <t>kg/m</t>
  </si>
  <si>
    <t>net power output averaged over positive values - negative new power ignored</t>
  </si>
  <si>
    <t>net present value at the start of the project - interest and discount rates not included</t>
  </si>
  <si>
    <t>cost of electricity calculated from total net production</t>
  </si>
  <si>
    <t>injection wellhead pressure during circulation</t>
  </si>
  <si>
    <t>injection rate during circulation</t>
  </si>
  <si>
    <t>bulk electrical power production - not accounting for pumping losses</t>
  </si>
  <si>
    <t>pumping losses</t>
  </si>
  <si>
    <t>bulk thermal power output</t>
  </si>
  <si>
    <t>injection mass flow rate</t>
  </si>
  <si>
    <t>injection temperature</t>
  </si>
  <si>
    <t>injection fluid enthalpy</t>
  </si>
  <si>
    <t>injection pressure limit (note that this may have limited the injection rate vs design goal)</t>
  </si>
  <si>
    <t>production wellhead pressure</t>
  </si>
  <si>
    <t>production mass flow rate</t>
  </si>
  <si>
    <t>production mixed fluid temperature</t>
  </si>
  <si>
    <t>prodction enthalpy</t>
  </si>
  <si>
    <t>fixed costs of capital equipment such as wells, pumps, and turbines</t>
  </si>
  <si>
    <t>variable costs accumulated during operations from upkeep and pumping losses</t>
  </si>
  <si>
    <t>forecast economic cost of triggering earthquakes</t>
  </si>
  <si>
    <t>pre-tax profit from selling electricity</t>
  </si>
  <si>
    <t>bulk electriity sales if alternative energy source is used to run pumps</t>
  </si>
  <si>
    <t>cost of electricity if alternative energy source is used to run pumps</t>
  </si>
  <si>
    <t>cost of produced heat relative to the injected fluid's enthalpy</t>
  </si>
  <si>
    <t>total length of all wells drilled</t>
  </si>
  <si>
    <t>bottomhole temperature - also equal to the resource temperature</t>
  </si>
  <si>
    <t>bottomhole pore pressure - this controls flow to or from the boundary</t>
  </si>
  <si>
    <t>diameter of the well's open borehole</t>
  </si>
  <si>
    <t>weight of steel calcualted for the casing using the input dimensions</t>
  </si>
  <si>
    <t>volume of cement calculated using the input dimensions</t>
  </si>
  <si>
    <t>mass of sand needed for the stimulation calculated from concentration and stim volume</t>
  </si>
  <si>
    <t>volume of water needed for stimulation calculated from the inflated volume of fractures</t>
  </si>
  <si>
    <t>pumping pressure required during stimulation</t>
  </si>
  <si>
    <t>volume of water in the reservoir - this is relates to system resource requirements</t>
  </si>
  <si>
    <t>ratio of production to injection as an indicator of system water efficiency</t>
  </si>
  <si>
    <t>total amount of makeup water required for the life of the project</t>
  </si>
  <si>
    <t>injection pressure during circulation</t>
  </si>
  <si>
    <t>total minimum principal in-situ rock stress</t>
  </si>
  <si>
    <t>total intermediate principal in-situ rock stress</t>
  </si>
  <si>
    <t>total maximum principal in-situ stress</t>
  </si>
  <si>
    <t>total in-situ pore pressure in the reservoir</t>
  </si>
  <si>
    <t>magnitude of the maximum forecast injection-induced earthquake</t>
  </si>
  <si>
    <t>number of triggered earthquakes - this scales with number of stimulated fractures</t>
  </si>
  <si>
    <t>number of shear (natural) fractures stimulated by fluid injection</t>
  </si>
  <si>
    <t>number of tensile (hydraulic) fractures stimualted by fluid injection</t>
  </si>
  <si>
    <t>number of fractures sustained in a hydropropped state during circulation</t>
  </si>
  <si>
    <t>time values for series data</t>
  </si>
  <si>
    <t>produced fluid temperature for series data</t>
  </si>
  <si>
    <t>produced fluid enthalpy for series data</t>
  </si>
  <si>
    <t>produced net power for series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</si>
</sst>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8F39-03F2-4450-9AAA-AD8F67F7C301}">
  <sheetPr>
    <tabColor theme="4" tint="0.79998168889431442"/>
  </sheetPr>
  <dimension ref="A1:H156"/>
  <sheetViews>
    <sheetView tabSelected="1" topLeftCell="A109" workbookViewId="0">
      <selection activeCell="B48" sqref="B48"/>
    </sheetView>
  </sheetViews>
  <sheetFormatPr defaultRowHeight="15" x14ac:dyDescent="0.25"/>
  <cols>
    <col min="1" max="1" width="11.140625" bestFit="1" customWidth="1"/>
    <col min="2" max="2" width="26.85546875" bestFit="1" customWidth="1"/>
    <col min="3" max="3" width="9.5703125" bestFit="1" customWidth="1"/>
    <col min="4" max="5" width="10.28515625" bestFit="1" customWidth="1"/>
    <col min="6" max="6" width="77.28515625" bestFit="1" customWidth="1"/>
    <col min="7" max="7" width="10" bestFit="1" customWidth="1"/>
    <col min="8" max="8" width="10.5703125" bestFit="1" customWidth="1"/>
  </cols>
  <sheetData>
    <row r="1" spans="1:6" x14ac:dyDescent="0.25">
      <c r="A1" t="s">
        <v>131</v>
      </c>
      <c r="B1" t="s">
        <v>130</v>
      </c>
      <c r="C1" t="s">
        <v>132</v>
      </c>
      <c r="D1" t="s">
        <v>148</v>
      </c>
      <c r="E1" t="s">
        <v>149</v>
      </c>
      <c r="F1" t="s">
        <v>152</v>
      </c>
    </row>
    <row r="2" spans="1:6" x14ac:dyDescent="0.25">
      <c r="A2" t="s">
        <v>112</v>
      </c>
      <c r="B2" t="s">
        <v>0</v>
      </c>
      <c r="C2" t="s">
        <v>150</v>
      </c>
      <c r="F2" t="s">
        <v>157</v>
      </c>
    </row>
    <row r="3" spans="1:6" x14ac:dyDescent="0.25">
      <c r="A3" t="s">
        <v>112</v>
      </c>
      <c r="B3" t="s">
        <v>1</v>
      </c>
      <c r="C3" t="s">
        <v>150</v>
      </c>
      <c r="F3" t="s">
        <v>156</v>
      </c>
    </row>
    <row r="4" spans="1:6" x14ac:dyDescent="0.25">
      <c r="A4" t="s">
        <v>112</v>
      </c>
      <c r="B4" t="s">
        <v>2</v>
      </c>
      <c r="C4" t="s">
        <v>150</v>
      </c>
      <c r="F4" t="s">
        <v>155</v>
      </c>
    </row>
    <row r="5" spans="1:6" x14ac:dyDescent="0.25">
      <c r="A5" t="s">
        <v>112</v>
      </c>
      <c r="B5" t="s">
        <v>3</v>
      </c>
      <c r="C5" t="s">
        <v>95</v>
      </c>
      <c r="D5" s="1">
        <v>0</v>
      </c>
      <c r="E5" s="1">
        <v>1000000</v>
      </c>
      <c r="F5" t="s">
        <v>158</v>
      </c>
    </row>
    <row r="6" spans="1:6" x14ac:dyDescent="0.25">
      <c r="A6" t="s">
        <v>112</v>
      </c>
      <c r="B6" t="s">
        <v>4</v>
      </c>
      <c r="C6" t="s">
        <v>96</v>
      </c>
      <c r="D6" s="4" t="s">
        <v>151</v>
      </c>
      <c r="E6" s="4"/>
      <c r="F6" t="s">
        <v>159</v>
      </c>
    </row>
    <row r="7" spans="1:6" x14ac:dyDescent="0.25">
      <c r="A7" t="s">
        <v>112</v>
      </c>
      <c r="B7" t="s">
        <v>5</v>
      </c>
      <c r="C7" t="s">
        <v>96</v>
      </c>
      <c r="D7" s="4" t="s">
        <v>154</v>
      </c>
      <c r="E7" s="4"/>
      <c r="F7" t="s">
        <v>160</v>
      </c>
    </row>
    <row r="8" spans="1:6" x14ac:dyDescent="0.25">
      <c r="A8" t="s">
        <v>112</v>
      </c>
      <c r="B8" t="s">
        <v>6</v>
      </c>
      <c r="C8" t="s">
        <v>96</v>
      </c>
      <c r="D8" s="4" t="s">
        <v>153</v>
      </c>
      <c r="E8" s="4"/>
      <c r="F8" t="s">
        <v>165</v>
      </c>
    </row>
    <row r="9" spans="1:6" x14ac:dyDescent="0.25">
      <c r="A9" t="s">
        <v>113</v>
      </c>
      <c r="B9" t="s">
        <v>7</v>
      </c>
      <c r="C9" t="s">
        <v>97</v>
      </c>
      <c r="D9" s="2">
        <v>0</v>
      </c>
      <c r="E9" s="2">
        <v>1400</v>
      </c>
      <c r="F9" t="s">
        <v>179</v>
      </c>
    </row>
    <row r="10" spans="1:6" x14ac:dyDescent="0.25">
      <c r="A10" t="s">
        <v>113</v>
      </c>
      <c r="B10" t="s">
        <v>8</v>
      </c>
      <c r="C10" t="s">
        <v>98</v>
      </c>
      <c r="D10" s="2">
        <v>0</v>
      </c>
      <c r="E10" s="2">
        <v>10000</v>
      </c>
      <c r="F10" t="s">
        <v>180</v>
      </c>
    </row>
    <row r="11" spans="1:6" x14ac:dyDescent="0.25">
      <c r="A11" t="s">
        <v>113</v>
      </c>
      <c r="B11" t="s">
        <v>9</v>
      </c>
      <c r="C11" t="s">
        <v>99</v>
      </c>
      <c r="D11" s="2">
        <v>0</v>
      </c>
      <c r="E11" s="2">
        <v>100</v>
      </c>
      <c r="F11" t="s">
        <v>161</v>
      </c>
    </row>
    <row r="12" spans="1:6" x14ac:dyDescent="0.25">
      <c r="A12" t="s">
        <v>113</v>
      </c>
      <c r="B12" t="s">
        <v>10</v>
      </c>
      <c r="C12" t="s">
        <v>98</v>
      </c>
      <c r="D12" s="2">
        <v>9.9999999999999995E-7</v>
      </c>
      <c r="E12" s="2">
        <v>1000</v>
      </c>
      <c r="F12" t="s">
        <v>162</v>
      </c>
    </row>
    <row r="13" spans="1:6" x14ac:dyDescent="0.25">
      <c r="A13" t="s">
        <v>113</v>
      </c>
      <c r="B13" t="s">
        <v>11</v>
      </c>
      <c r="C13" t="s">
        <v>98</v>
      </c>
      <c r="D13" s="2">
        <v>9.9999999999999995E-7</v>
      </c>
      <c r="E13" s="2">
        <v>10000</v>
      </c>
      <c r="F13" t="s">
        <v>163</v>
      </c>
    </row>
    <row r="14" spans="1:6" x14ac:dyDescent="0.25">
      <c r="A14" t="s">
        <v>113</v>
      </c>
      <c r="B14" t="s">
        <v>12</v>
      </c>
      <c r="C14" t="s">
        <v>100</v>
      </c>
      <c r="D14" s="2">
        <v>0.01</v>
      </c>
      <c r="E14" s="2">
        <v>10</v>
      </c>
      <c r="F14" t="s">
        <v>164</v>
      </c>
    </row>
    <row r="15" spans="1:6" x14ac:dyDescent="0.25">
      <c r="A15" t="s">
        <v>113</v>
      </c>
      <c r="B15" t="s">
        <v>13</v>
      </c>
      <c r="C15" t="s">
        <v>101</v>
      </c>
      <c r="D15" s="2">
        <v>0</v>
      </c>
      <c r="E15" s="2">
        <f>2*PI()</f>
        <v>6.2831853071795862</v>
      </c>
      <c r="F15" t="s">
        <v>167</v>
      </c>
    </row>
    <row r="16" spans="1:6" x14ac:dyDescent="0.25">
      <c r="A16" t="s">
        <v>113</v>
      </c>
      <c r="B16" t="s">
        <v>14</v>
      </c>
      <c r="C16" t="s">
        <v>101</v>
      </c>
      <c r="D16" s="2">
        <v>0</v>
      </c>
      <c r="E16" s="2">
        <f>PI()/2</f>
        <v>1.5707963267948966</v>
      </c>
      <c r="F16" t="s">
        <v>166</v>
      </c>
    </row>
    <row r="17" spans="1:6" x14ac:dyDescent="0.25">
      <c r="A17" t="s">
        <v>113</v>
      </c>
      <c r="B17" t="s">
        <v>15</v>
      </c>
      <c r="C17" t="s">
        <v>101</v>
      </c>
      <c r="D17" s="2">
        <v>0</v>
      </c>
      <c r="E17" s="2">
        <f>2*PI()</f>
        <v>6.2831853071795862</v>
      </c>
      <c r="F17" t="s">
        <v>168</v>
      </c>
    </row>
    <row r="18" spans="1:6" x14ac:dyDescent="0.25">
      <c r="A18" t="s">
        <v>113</v>
      </c>
      <c r="B18" t="s">
        <v>16</v>
      </c>
      <c r="C18" t="s">
        <v>101</v>
      </c>
      <c r="D18" s="2">
        <f>-PI()/2</f>
        <v>-1.5707963267948966</v>
      </c>
      <c r="E18" s="2">
        <f>PI()/2</f>
        <v>1.5707963267948966</v>
      </c>
      <c r="F18" t="s">
        <v>169</v>
      </c>
    </row>
    <row r="19" spans="1:6" x14ac:dyDescent="0.25">
      <c r="A19" t="s">
        <v>113</v>
      </c>
      <c r="B19" t="s">
        <v>17</v>
      </c>
      <c r="C19" t="s">
        <v>101</v>
      </c>
      <c r="D19" s="2">
        <f>D18</f>
        <v>-1.5707963267948966</v>
      </c>
      <c r="E19" s="2">
        <f>E18</f>
        <v>1.5707963267948966</v>
      </c>
      <c r="F19" t="s">
        <v>170</v>
      </c>
    </row>
    <row r="20" spans="1:6" x14ac:dyDescent="0.25">
      <c r="A20" t="s">
        <v>113</v>
      </c>
      <c r="B20" t="s">
        <v>18</v>
      </c>
      <c r="C20" t="s">
        <v>98</v>
      </c>
      <c r="D20" s="2">
        <v>0</v>
      </c>
      <c r="E20" s="2">
        <v>1</v>
      </c>
      <c r="F20" t="s">
        <v>171</v>
      </c>
    </row>
    <row r="21" spans="1:6" x14ac:dyDescent="0.25">
      <c r="A21" t="s">
        <v>113</v>
      </c>
      <c r="B21" t="s">
        <v>19</v>
      </c>
      <c r="C21" t="s">
        <v>98</v>
      </c>
      <c r="D21" s="2">
        <v>0</v>
      </c>
      <c r="E21" s="2">
        <v>1</v>
      </c>
      <c r="F21" t="s">
        <v>172</v>
      </c>
    </row>
    <row r="22" spans="1:6" x14ac:dyDescent="0.25">
      <c r="A22" t="s">
        <v>113</v>
      </c>
      <c r="B22" t="s">
        <v>20</v>
      </c>
      <c r="C22" t="s">
        <v>98</v>
      </c>
      <c r="D22" s="2">
        <v>0</v>
      </c>
      <c r="E22" s="2">
        <v>1</v>
      </c>
      <c r="F22" t="s">
        <v>173</v>
      </c>
    </row>
    <row r="23" spans="1:6" x14ac:dyDescent="0.25">
      <c r="A23" t="s">
        <v>113</v>
      </c>
      <c r="B23" t="s">
        <v>21</v>
      </c>
      <c r="C23" t="s">
        <v>102</v>
      </c>
      <c r="D23" s="2">
        <v>50</v>
      </c>
      <c r="E23" s="2">
        <v>150</v>
      </c>
      <c r="F23" t="s">
        <v>174</v>
      </c>
    </row>
    <row r="24" spans="1:6" x14ac:dyDescent="0.25">
      <c r="A24" t="s">
        <v>114</v>
      </c>
      <c r="B24" t="s">
        <v>22</v>
      </c>
      <c r="C24" t="s">
        <v>133</v>
      </c>
      <c r="D24" s="2">
        <v>0</v>
      </c>
      <c r="E24" s="2">
        <v>10</v>
      </c>
      <c r="F24" t="s">
        <v>175</v>
      </c>
    </row>
    <row r="25" spans="1:6" x14ac:dyDescent="0.25">
      <c r="A25" t="s">
        <v>115</v>
      </c>
      <c r="B25" t="s">
        <v>22</v>
      </c>
      <c r="C25" t="s">
        <v>133</v>
      </c>
      <c r="D25" s="2">
        <v>0</v>
      </c>
      <c r="E25" s="2">
        <v>10</v>
      </c>
      <c r="F25" t="s">
        <v>176</v>
      </c>
    </row>
    <row r="26" spans="1:6" x14ac:dyDescent="0.25">
      <c r="A26" t="s">
        <v>115</v>
      </c>
      <c r="B26" t="s">
        <v>23</v>
      </c>
      <c r="C26" t="s">
        <v>103</v>
      </c>
      <c r="D26" s="2">
        <v>0</v>
      </c>
      <c r="E26" s="2">
        <v>1000000000</v>
      </c>
      <c r="F26" t="s">
        <v>178</v>
      </c>
    </row>
    <row r="27" spans="1:6" x14ac:dyDescent="0.25">
      <c r="A27" t="s">
        <v>115</v>
      </c>
      <c r="B27" t="s">
        <v>24</v>
      </c>
      <c r="C27" t="s">
        <v>98</v>
      </c>
      <c r="D27" s="2">
        <v>0</v>
      </c>
      <c r="E27" s="2">
        <v>10000</v>
      </c>
      <c r="F27" t="s">
        <v>177</v>
      </c>
    </row>
    <row r="28" spans="1:6" x14ac:dyDescent="0.25">
      <c r="A28" t="s">
        <v>116</v>
      </c>
      <c r="B28" t="s">
        <v>25</v>
      </c>
      <c r="C28" t="s">
        <v>98</v>
      </c>
      <c r="D28" s="2">
        <v>0</v>
      </c>
      <c r="E28" s="2">
        <v>10000</v>
      </c>
      <c r="F28" t="s">
        <v>181</v>
      </c>
    </row>
    <row r="29" spans="1:6" x14ac:dyDescent="0.25">
      <c r="A29" t="s">
        <v>117</v>
      </c>
      <c r="B29" t="s">
        <v>26</v>
      </c>
      <c r="C29" t="s">
        <v>134</v>
      </c>
      <c r="D29" s="2">
        <v>0.01</v>
      </c>
      <c r="E29" s="2">
        <v>0.4</v>
      </c>
      <c r="F29" t="s">
        <v>182</v>
      </c>
    </row>
    <row r="30" spans="1:6" x14ac:dyDescent="0.25">
      <c r="A30" t="s">
        <v>117</v>
      </c>
      <c r="B30" t="s">
        <v>27</v>
      </c>
      <c r="C30" t="s">
        <v>135</v>
      </c>
      <c r="D30" s="2">
        <v>1000</v>
      </c>
      <c r="E30" s="2">
        <v>3000</v>
      </c>
      <c r="F30" t="s">
        <v>183</v>
      </c>
    </row>
    <row r="31" spans="1:6" x14ac:dyDescent="0.25">
      <c r="A31" t="s">
        <v>117</v>
      </c>
      <c r="B31" t="s">
        <v>28</v>
      </c>
      <c r="C31" t="s">
        <v>136</v>
      </c>
      <c r="D31" s="2">
        <v>0.1</v>
      </c>
      <c r="E31" s="2">
        <v>10</v>
      </c>
      <c r="F31" t="s">
        <v>184</v>
      </c>
    </row>
    <row r="32" spans="1:6" x14ac:dyDescent="0.25">
      <c r="A32" t="s">
        <v>117</v>
      </c>
      <c r="B32" t="s">
        <v>29</v>
      </c>
      <c r="C32" t="s">
        <v>137</v>
      </c>
      <c r="D32" s="2">
        <v>1000</v>
      </c>
      <c r="E32" s="2">
        <v>4000</v>
      </c>
      <c r="F32" t="s">
        <v>185</v>
      </c>
    </row>
    <row r="33" spans="1:6" x14ac:dyDescent="0.25">
      <c r="A33" t="s">
        <v>118</v>
      </c>
      <c r="B33" t="s">
        <v>30</v>
      </c>
      <c r="C33" t="s">
        <v>97</v>
      </c>
      <c r="D33" s="2">
        <v>250</v>
      </c>
      <c r="E33" s="2">
        <v>310</v>
      </c>
      <c r="F33" t="s">
        <v>186</v>
      </c>
    </row>
    <row r="34" spans="1:6" x14ac:dyDescent="0.25">
      <c r="A34" t="s">
        <v>118</v>
      </c>
      <c r="B34" t="s">
        <v>31</v>
      </c>
      <c r="C34" t="s">
        <v>104</v>
      </c>
      <c r="D34" s="2">
        <v>50000</v>
      </c>
      <c r="E34" s="2">
        <v>101000</v>
      </c>
      <c r="F34" t="s">
        <v>187</v>
      </c>
    </row>
    <row r="35" spans="1:6" x14ac:dyDescent="0.25">
      <c r="A35" t="s">
        <v>117</v>
      </c>
      <c r="B35" t="s">
        <v>32</v>
      </c>
      <c r="C35" t="s">
        <v>104</v>
      </c>
      <c r="D35" s="2">
        <v>100000000</v>
      </c>
      <c r="E35" s="2">
        <v>100000000000</v>
      </c>
      <c r="F35" t="s">
        <v>189</v>
      </c>
    </row>
    <row r="36" spans="1:6" x14ac:dyDescent="0.25">
      <c r="A36" t="s">
        <v>117</v>
      </c>
      <c r="B36" t="s">
        <v>33</v>
      </c>
      <c r="C36" t="s">
        <v>100</v>
      </c>
      <c r="D36" s="2">
        <v>1E-3</v>
      </c>
      <c r="E36" s="2">
        <v>0.499</v>
      </c>
      <c r="F36" t="s">
        <v>188</v>
      </c>
    </row>
    <row r="37" spans="1:6" x14ac:dyDescent="0.25">
      <c r="A37" t="s">
        <v>119</v>
      </c>
      <c r="B37" t="s">
        <v>34</v>
      </c>
      <c r="C37" t="s">
        <v>100</v>
      </c>
      <c r="D37" s="2">
        <v>0.01</v>
      </c>
      <c r="E37" s="2">
        <v>3</v>
      </c>
      <c r="F37" t="s">
        <v>190</v>
      </c>
    </row>
    <row r="38" spans="1:6" x14ac:dyDescent="0.25">
      <c r="A38" t="s">
        <v>120</v>
      </c>
      <c r="B38" t="s">
        <v>34</v>
      </c>
      <c r="C38" t="s">
        <v>100</v>
      </c>
      <c r="D38" s="2">
        <v>0.01</v>
      </c>
      <c r="E38" s="2">
        <v>4</v>
      </c>
      <c r="F38" t="s">
        <v>191</v>
      </c>
    </row>
    <row r="39" spans="1:6" x14ac:dyDescent="0.25">
      <c r="A39" t="s">
        <v>119</v>
      </c>
      <c r="B39" t="s">
        <v>13</v>
      </c>
      <c r="C39" t="s">
        <v>101</v>
      </c>
      <c r="D39" s="2">
        <v>0</v>
      </c>
      <c r="E39" s="2">
        <f>2*PI()</f>
        <v>6.2831853071795862</v>
      </c>
      <c r="F39" t="s">
        <v>192</v>
      </c>
    </row>
    <row r="40" spans="1:6" x14ac:dyDescent="0.25">
      <c r="A40" t="s">
        <v>119</v>
      </c>
      <c r="B40" t="s">
        <v>14</v>
      </c>
      <c r="C40" t="s">
        <v>101</v>
      </c>
      <c r="D40" s="2">
        <f>-PI()/2</f>
        <v>-1.5707963267948966</v>
      </c>
      <c r="E40" s="2">
        <f>PI()/2</f>
        <v>1.5707963267948966</v>
      </c>
      <c r="F40" t="s">
        <v>193</v>
      </c>
    </row>
    <row r="41" spans="1:6" x14ac:dyDescent="0.25">
      <c r="A41" t="s">
        <v>119</v>
      </c>
      <c r="B41" t="s">
        <v>35</v>
      </c>
      <c r="C41" t="s">
        <v>101</v>
      </c>
      <c r="D41" s="2">
        <v>0</v>
      </c>
      <c r="E41" s="2">
        <f>15*PI()/180</f>
        <v>0.26179938779914941</v>
      </c>
      <c r="F41" t="s">
        <v>194</v>
      </c>
    </row>
    <row r="42" spans="1:6" x14ac:dyDescent="0.25">
      <c r="A42" t="s">
        <v>121</v>
      </c>
      <c r="B42" t="s">
        <v>36</v>
      </c>
      <c r="C42" t="s">
        <v>100</v>
      </c>
      <c r="D42" s="2">
        <f>10^-3</f>
        <v>1E-3</v>
      </c>
      <c r="E42" s="2">
        <f>10^-1.2</f>
        <v>6.3095734448019317E-2</v>
      </c>
      <c r="F42" t="s">
        <v>195</v>
      </c>
    </row>
    <row r="43" spans="1:6" x14ac:dyDescent="0.25">
      <c r="A43" t="s">
        <v>121</v>
      </c>
      <c r="B43" t="s">
        <v>37</v>
      </c>
      <c r="C43" t="s">
        <v>100</v>
      </c>
      <c r="D43" s="2">
        <f>10^-3</f>
        <v>1E-3</v>
      </c>
      <c r="E43" s="2">
        <f>10^-1.2</f>
        <v>6.3095734448019317E-2</v>
      </c>
      <c r="F43" t="s">
        <v>198</v>
      </c>
    </row>
    <row r="44" spans="1:6" x14ac:dyDescent="0.25">
      <c r="A44" t="s">
        <v>121</v>
      </c>
      <c r="B44" t="s">
        <v>38</v>
      </c>
      <c r="C44" t="s">
        <v>100</v>
      </c>
      <c r="D44" s="2">
        <f>10^-3</f>
        <v>1E-3</v>
      </c>
      <c r="E44" s="2">
        <f>10^-1.2</f>
        <v>6.3095734448019317E-2</v>
      </c>
      <c r="F44" t="s">
        <v>195</v>
      </c>
    </row>
    <row r="45" spans="1:6" x14ac:dyDescent="0.25">
      <c r="A45" t="s">
        <v>121</v>
      </c>
      <c r="B45" t="s">
        <v>39</v>
      </c>
      <c r="C45" t="s">
        <v>100</v>
      </c>
      <c r="D45" s="2">
        <v>0</v>
      </c>
      <c r="E45" s="2">
        <v>0.8</v>
      </c>
      <c r="F45" t="s">
        <v>196</v>
      </c>
    </row>
    <row r="46" spans="1:6" x14ac:dyDescent="0.25">
      <c r="A46" t="s">
        <v>121</v>
      </c>
      <c r="B46" t="s">
        <v>40</v>
      </c>
      <c r="C46" t="s">
        <v>100</v>
      </c>
      <c r="D46" s="2">
        <v>0</v>
      </c>
      <c r="E46" s="2">
        <v>0.8</v>
      </c>
      <c r="F46" t="s">
        <v>197</v>
      </c>
    </row>
    <row r="47" spans="1:6" x14ac:dyDescent="0.25">
      <c r="A47" t="s">
        <v>121</v>
      </c>
      <c r="B47" t="s">
        <v>41</v>
      </c>
      <c r="C47" t="s">
        <v>100</v>
      </c>
      <c r="D47" s="2">
        <v>0</v>
      </c>
      <c r="E47" s="2">
        <v>0.8</v>
      </c>
      <c r="F47" t="s">
        <v>196</v>
      </c>
    </row>
    <row r="48" spans="1:6" x14ac:dyDescent="0.25">
      <c r="A48" t="s">
        <v>121</v>
      </c>
      <c r="B48" t="s">
        <v>42</v>
      </c>
      <c r="C48" t="s">
        <v>100</v>
      </c>
      <c r="D48" s="2">
        <v>0</v>
      </c>
      <c r="E48" s="2">
        <v>2</v>
      </c>
      <c r="F48" t="s">
        <v>199</v>
      </c>
    </row>
    <row r="49" spans="1:6" x14ac:dyDescent="0.25">
      <c r="A49" t="s">
        <v>121</v>
      </c>
      <c r="B49" t="s">
        <v>43</v>
      </c>
      <c r="C49" t="s">
        <v>100</v>
      </c>
      <c r="D49" s="2">
        <v>0</v>
      </c>
      <c r="E49" s="2">
        <v>2</v>
      </c>
      <c r="F49" t="s">
        <v>200</v>
      </c>
    </row>
    <row r="50" spans="1:6" x14ac:dyDescent="0.25">
      <c r="A50" t="s">
        <v>121</v>
      </c>
      <c r="B50" t="s">
        <v>44</v>
      </c>
      <c r="C50" t="s">
        <v>100</v>
      </c>
      <c r="D50" s="2">
        <v>0</v>
      </c>
      <c r="E50" s="2">
        <v>2</v>
      </c>
      <c r="F50" t="s">
        <v>199</v>
      </c>
    </row>
    <row r="51" spans="1:6" x14ac:dyDescent="0.25">
      <c r="A51" t="s">
        <v>121</v>
      </c>
      <c r="B51" t="s">
        <v>45</v>
      </c>
      <c r="C51" t="s">
        <v>138</v>
      </c>
      <c r="D51" s="2">
        <v>1.0000000000000001E-9</v>
      </c>
      <c r="E51" s="2">
        <v>9.9999999999999995E-8</v>
      </c>
      <c r="F51" t="s">
        <v>201</v>
      </c>
    </row>
    <row r="52" spans="1:6" x14ac:dyDescent="0.25">
      <c r="A52" t="s">
        <v>121</v>
      </c>
      <c r="B52" t="s">
        <v>46</v>
      </c>
      <c r="C52" t="s">
        <v>138</v>
      </c>
      <c r="D52" s="2">
        <v>1.0000000000000001E-9</v>
      </c>
      <c r="E52" s="2">
        <v>9.9999999999999995E-8</v>
      </c>
      <c r="F52" t="s">
        <v>202</v>
      </c>
    </row>
    <row r="53" spans="1:6" x14ac:dyDescent="0.25">
      <c r="A53" t="s">
        <v>121</v>
      </c>
      <c r="B53" t="s">
        <v>47</v>
      </c>
      <c r="C53" t="s">
        <v>138</v>
      </c>
      <c r="D53" s="2">
        <v>1.0000000000000001E-9</v>
      </c>
      <c r="E53" s="2">
        <v>9.9999999999999995E-8</v>
      </c>
      <c r="F53" t="s">
        <v>201</v>
      </c>
    </row>
    <row r="54" spans="1:6" x14ac:dyDescent="0.25">
      <c r="A54" t="s">
        <v>122</v>
      </c>
      <c r="B54" t="s">
        <v>45</v>
      </c>
      <c r="C54" t="s">
        <v>138</v>
      </c>
      <c r="D54" s="2">
        <v>1.0000000000000001E-9</v>
      </c>
      <c r="E54" s="2">
        <v>9.9999999999999995E-8</v>
      </c>
      <c r="F54" t="s">
        <v>203</v>
      </c>
    </row>
    <row r="55" spans="1:6" x14ac:dyDescent="0.25">
      <c r="A55" t="s">
        <v>122</v>
      </c>
      <c r="B55" t="s">
        <v>46</v>
      </c>
      <c r="C55" t="s">
        <v>138</v>
      </c>
      <c r="D55" s="2">
        <v>1.0000000000000001E-9</v>
      </c>
      <c r="E55" s="2">
        <v>9.9999999999999995E-8</v>
      </c>
      <c r="F55" t="s">
        <v>204</v>
      </c>
    </row>
    <row r="56" spans="1:6" x14ac:dyDescent="0.25">
      <c r="A56" t="s">
        <v>122</v>
      </c>
      <c r="B56" t="s">
        <v>47</v>
      </c>
      <c r="C56" t="s">
        <v>138</v>
      </c>
      <c r="D56" s="2">
        <v>1.0000000000000001E-9</v>
      </c>
      <c r="E56" s="2">
        <v>9.9999999999999995E-8</v>
      </c>
      <c r="F56" t="s">
        <v>203</v>
      </c>
    </row>
    <row r="57" spans="1:6" x14ac:dyDescent="0.25">
      <c r="A57" t="s">
        <v>121</v>
      </c>
      <c r="B57" t="s">
        <v>48</v>
      </c>
      <c r="C57" t="s">
        <v>98</v>
      </c>
      <c r="D57" s="2">
        <v>5.0000000000000002E-5</v>
      </c>
      <c r="E57" s="2">
        <v>2.0000000000000001E-4</v>
      </c>
      <c r="F57" t="s">
        <v>205</v>
      </c>
    </row>
    <row r="58" spans="1:6" x14ac:dyDescent="0.25">
      <c r="A58" t="s">
        <v>121</v>
      </c>
      <c r="B58" t="s">
        <v>49</v>
      </c>
      <c r="C58" t="s">
        <v>98</v>
      </c>
      <c r="D58" s="2">
        <v>5.0000000000000002E-5</v>
      </c>
      <c r="E58" s="2">
        <v>2.0000000000000001E-4</v>
      </c>
      <c r="F58" t="s">
        <v>206</v>
      </c>
    </row>
    <row r="59" spans="1:6" x14ac:dyDescent="0.25">
      <c r="A59" t="s">
        <v>121</v>
      </c>
      <c r="B59" t="s">
        <v>50</v>
      </c>
      <c r="C59" t="s">
        <v>98</v>
      </c>
      <c r="D59" s="2">
        <v>5.0000000000000002E-5</v>
      </c>
      <c r="E59" s="2">
        <v>2.0000000000000001E-4</v>
      </c>
      <c r="F59" t="s">
        <v>205</v>
      </c>
    </row>
    <row r="60" spans="1:6" x14ac:dyDescent="0.25">
      <c r="A60" t="s">
        <v>116</v>
      </c>
      <c r="B60" t="s">
        <v>51</v>
      </c>
      <c r="C60" t="s">
        <v>98</v>
      </c>
      <c r="D60" s="2">
        <v>1.0000000000000001E-9</v>
      </c>
      <c r="E60" s="2">
        <v>1E-3</v>
      </c>
      <c r="F60" t="s">
        <v>207</v>
      </c>
    </row>
    <row r="61" spans="1:6" x14ac:dyDescent="0.25">
      <c r="A61" t="s">
        <v>121</v>
      </c>
      <c r="B61" t="s">
        <v>52</v>
      </c>
      <c r="C61" t="s">
        <v>100</v>
      </c>
      <c r="D61" s="2">
        <v>0</v>
      </c>
      <c r="E61" s="2">
        <v>1</v>
      </c>
      <c r="F61" t="s">
        <v>208</v>
      </c>
    </row>
    <row r="62" spans="1:6" x14ac:dyDescent="0.25">
      <c r="A62" t="s">
        <v>121</v>
      </c>
      <c r="B62" t="s">
        <v>53</v>
      </c>
      <c r="C62" t="s">
        <v>100</v>
      </c>
      <c r="D62" s="2">
        <v>0</v>
      </c>
      <c r="E62" s="2">
        <v>1</v>
      </c>
      <c r="F62" t="s">
        <v>209</v>
      </c>
    </row>
    <row r="63" spans="1:6" x14ac:dyDescent="0.25">
      <c r="A63" t="s">
        <v>121</v>
      </c>
      <c r="B63" t="s">
        <v>54</v>
      </c>
      <c r="C63" t="s">
        <v>100</v>
      </c>
      <c r="D63" s="2">
        <v>0</v>
      </c>
      <c r="E63" s="2">
        <v>1</v>
      </c>
      <c r="F63" t="s">
        <v>208</v>
      </c>
    </row>
    <row r="64" spans="1:6" x14ac:dyDescent="0.25">
      <c r="A64" t="s">
        <v>123</v>
      </c>
      <c r="B64" t="s">
        <v>28</v>
      </c>
      <c r="C64" t="s">
        <v>136</v>
      </c>
      <c r="D64" s="2">
        <v>0.1</v>
      </c>
      <c r="E64" s="2">
        <v>10</v>
      </c>
      <c r="F64" t="s">
        <v>210</v>
      </c>
    </row>
    <row r="65" spans="1:8" x14ac:dyDescent="0.25">
      <c r="A65" t="s">
        <v>123</v>
      </c>
      <c r="B65" t="s">
        <v>29</v>
      </c>
      <c r="C65" t="s">
        <v>137</v>
      </c>
      <c r="D65" s="2">
        <v>1000</v>
      </c>
      <c r="E65" s="2">
        <v>3000</v>
      </c>
      <c r="F65" t="s">
        <v>211</v>
      </c>
    </row>
    <row r="66" spans="1:8" x14ac:dyDescent="0.25">
      <c r="A66" t="s">
        <v>124</v>
      </c>
      <c r="B66" t="s">
        <v>55</v>
      </c>
      <c r="C66" t="s">
        <v>100</v>
      </c>
      <c r="D66" s="2">
        <v>0</v>
      </c>
      <c r="E66" s="2">
        <v>1</v>
      </c>
      <c r="F66" t="s">
        <v>212</v>
      </c>
    </row>
    <row r="67" spans="1:8" x14ac:dyDescent="0.25">
      <c r="A67" t="s">
        <v>124</v>
      </c>
      <c r="B67" t="s">
        <v>56</v>
      </c>
      <c r="C67" t="s">
        <v>105</v>
      </c>
      <c r="D67" s="2">
        <v>0</v>
      </c>
      <c r="E67" s="2">
        <v>10000000000</v>
      </c>
      <c r="F67" t="s">
        <v>213</v>
      </c>
      <c r="H67" s="3"/>
    </row>
    <row r="68" spans="1:8" x14ac:dyDescent="0.25">
      <c r="A68" t="s">
        <v>116</v>
      </c>
      <c r="B68" t="s">
        <v>57</v>
      </c>
      <c r="C68" t="s">
        <v>106</v>
      </c>
      <c r="D68" s="2">
        <v>1</v>
      </c>
      <c r="E68" s="2">
        <v>1000</v>
      </c>
      <c r="F68" t="s">
        <v>214</v>
      </c>
    </row>
    <row r="69" spans="1:8" x14ac:dyDescent="0.25">
      <c r="A69" t="s">
        <v>114</v>
      </c>
      <c r="B69" t="s">
        <v>58</v>
      </c>
      <c r="C69" t="s">
        <v>104</v>
      </c>
      <c r="D69" s="2">
        <v>0</v>
      </c>
      <c r="E69" s="2">
        <v>100000000</v>
      </c>
      <c r="F69" t="s">
        <v>215</v>
      </c>
    </row>
    <row r="70" spans="1:8" x14ac:dyDescent="0.25">
      <c r="A70" t="s">
        <v>114</v>
      </c>
      <c r="B70" t="s">
        <v>59</v>
      </c>
      <c r="C70" t="s">
        <v>97</v>
      </c>
      <c r="D70" s="2">
        <v>273.14999999999998</v>
      </c>
      <c r="E70" s="2">
        <v>1000</v>
      </c>
      <c r="F70" t="s">
        <v>216</v>
      </c>
    </row>
    <row r="71" spans="1:8" x14ac:dyDescent="0.25">
      <c r="A71" t="s">
        <v>124</v>
      </c>
      <c r="B71" t="s">
        <v>60</v>
      </c>
      <c r="C71" t="s">
        <v>139</v>
      </c>
      <c r="D71" s="2">
        <v>1</v>
      </c>
      <c r="E71" s="2">
        <v>10</v>
      </c>
      <c r="F71" t="s">
        <v>217</v>
      </c>
    </row>
    <row r="72" spans="1:8" x14ac:dyDescent="0.25">
      <c r="A72" t="s">
        <v>125</v>
      </c>
      <c r="B72" t="s">
        <v>61</v>
      </c>
      <c r="C72" t="s">
        <v>135</v>
      </c>
      <c r="D72" s="2">
        <v>10</v>
      </c>
      <c r="E72" s="2">
        <v>1000</v>
      </c>
      <c r="F72" t="s">
        <v>218</v>
      </c>
    </row>
    <row r="73" spans="1:8" x14ac:dyDescent="0.25">
      <c r="A73" t="s">
        <v>125</v>
      </c>
      <c r="B73" t="s">
        <v>62</v>
      </c>
      <c r="C73" t="s">
        <v>145</v>
      </c>
      <c r="D73" s="2">
        <v>1.0000000000000001E-5</v>
      </c>
      <c r="E73" s="2">
        <v>1</v>
      </c>
      <c r="F73" t="s">
        <v>219</v>
      </c>
    </row>
    <row r="74" spans="1:8" x14ac:dyDescent="0.25">
      <c r="A74" t="s">
        <v>117</v>
      </c>
      <c r="B74" t="s">
        <v>63</v>
      </c>
      <c r="C74" t="s">
        <v>107</v>
      </c>
      <c r="D74" s="2">
        <f>0.000000001*0.000000000001</f>
        <v>1.0000000000000001E-21</v>
      </c>
      <c r="E74" s="2">
        <f>1000*0.000000000001</f>
        <v>1.0000000000000001E-9</v>
      </c>
      <c r="F74" t="s">
        <v>220</v>
      </c>
    </row>
    <row r="75" spans="1:8" x14ac:dyDescent="0.25">
      <c r="A75" t="s">
        <v>122</v>
      </c>
      <c r="B75" t="s">
        <v>64</v>
      </c>
      <c r="C75" t="s">
        <v>107</v>
      </c>
      <c r="D75" s="2">
        <f>0.000000001*0.000000000001</f>
        <v>1.0000000000000001E-21</v>
      </c>
      <c r="E75" s="2">
        <f>1000*0.000000000001</f>
        <v>1.0000000000000001E-9</v>
      </c>
      <c r="F75" t="s">
        <v>221</v>
      </c>
    </row>
    <row r="76" spans="1:8" x14ac:dyDescent="0.25">
      <c r="A76" t="s">
        <v>122</v>
      </c>
      <c r="B76" t="s">
        <v>65</v>
      </c>
      <c r="C76" t="s">
        <v>107</v>
      </c>
      <c r="D76" s="2">
        <f>0.000000001*0.000000000001</f>
        <v>1.0000000000000001E-21</v>
      </c>
      <c r="E76" s="2">
        <f>1000*0.000000000001</f>
        <v>1.0000000000000001E-9</v>
      </c>
      <c r="F76" t="s">
        <v>222</v>
      </c>
    </row>
    <row r="77" spans="1:8" x14ac:dyDescent="0.25">
      <c r="A77" t="s">
        <v>122</v>
      </c>
      <c r="B77" t="s">
        <v>66</v>
      </c>
      <c r="C77" t="s">
        <v>107</v>
      </c>
      <c r="D77" s="2">
        <f>0.000000001*0.000000000001</f>
        <v>1.0000000000000001E-21</v>
      </c>
      <c r="E77" s="2">
        <f>1000*0.000000000001</f>
        <v>1.0000000000000001E-9</v>
      </c>
      <c r="F77" t="s">
        <v>221</v>
      </c>
    </row>
    <row r="78" spans="1:8" x14ac:dyDescent="0.25">
      <c r="A78" t="s">
        <v>126</v>
      </c>
      <c r="B78" t="s">
        <v>67</v>
      </c>
      <c r="C78" t="s">
        <v>108</v>
      </c>
      <c r="D78" s="2">
        <v>0</v>
      </c>
      <c r="E78" s="2">
        <v>200</v>
      </c>
      <c r="F78" t="s">
        <v>223</v>
      </c>
    </row>
    <row r="79" spans="1:8" x14ac:dyDescent="0.25">
      <c r="A79" t="s">
        <v>126</v>
      </c>
      <c r="B79" t="s">
        <v>68</v>
      </c>
      <c r="C79" t="s">
        <v>108</v>
      </c>
      <c r="D79" s="2">
        <v>0</v>
      </c>
      <c r="E79" s="2">
        <v>200</v>
      </c>
      <c r="F79" t="s">
        <v>224</v>
      </c>
    </row>
    <row r="80" spans="1:8" x14ac:dyDescent="0.25">
      <c r="A80" t="s">
        <v>126</v>
      </c>
      <c r="B80" t="s">
        <v>69</v>
      </c>
      <c r="C80" t="s">
        <v>108</v>
      </c>
      <c r="D80" s="2">
        <v>0</v>
      </c>
      <c r="E80" s="2">
        <v>200</v>
      </c>
      <c r="F80" t="s">
        <v>225</v>
      </c>
    </row>
    <row r="81" spans="1:6" x14ac:dyDescent="0.25">
      <c r="A81" t="s">
        <v>126</v>
      </c>
      <c r="B81" t="s">
        <v>35</v>
      </c>
      <c r="C81" t="s">
        <v>101</v>
      </c>
      <c r="D81" s="2">
        <v>0</v>
      </c>
      <c r="E81" s="2">
        <f>PI()/2</f>
        <v>1.5707963267948966</v>
      </c>
      <c r="F81" t="s">
        <v>226</v>
      </c>
    </row>
    <row r="82" spans="1:6" x14ac:dyDescent="0.25">
      <c r="A82" t="s">
        <v>126</v>
      </c>
      <c r="B82" t="s">
        <v>70</v>
      </c>
      <c r="C82" t="s">
        <v>98</v>
      </c>
      <c r="D82" s="2">
        <v>0</v>
      </c>
      <c r="E82" s="2">
        <v>10000000</v>
      </c>
      <c r="F82" t="s">
        <v>227</v>
      </c>
    </row>
    <row r="83" spans="1:6" x14ac:dyDescent="0.25">
      <c r="A83" t="s">
        <v>126</v>
      </c>
      <c r="B83" t="s">
        <v>71</v>
      </c>
      <c r="C83" t="s">
        <v>98</v>
      </c>
      <c r="D83" s="2">
        <v>0</v>
      </c>
      <c r="E83" s="2">
        <v>10000000</v>
      </c>
      <c r="F83" t="s">
        <v>228</v>
      </c>
    </row>
    <row r="84" spans="1:6" x14ac:dyDescent="0.25">
      <c r="A84" t="s">
        <v>115</v>
      </c>
      <c r="B84" t="s">
        <v>72</v>
      </c>
      <c r="C84" t="s">
        <v>109</v>
      </c>
      <c r="D84" s="2">
        <v>0</v>
      </c>
      <c r="E84" s="2">
        <v>200</v>
      </c>
      <c r="F84" t="s">
        <v>229</v>
      </c>
    </row>
    <row r="85" spans="1:6" x14ac:dyDescent="0.25">
      <c r="A85" t="s">
        <v>115</v>
      </c>
      <c r="B85" t="s">
        <v>73</v>
      </c>
      <c r="C85" t="s">
        <v>98</v>
      </c>
      <c r="D85" s="2">
        <v>0</v>
      </c>
      <c r="E85" s="2">
        <v>0.1</v>
      </c>
      <c r="F85" t="s">
        <v>230</v>
      </c>
    </row>
    <row r="86" spans="1:6" x14ac:dyDescent="0.25">
      <c r="A86" t="s">
        <v>115</v>
      </c>
      <c r="B86" t="s">
        <v>74</v>
      </c>
      <c r="C86" t="s">
        <v>110</v>
      </c>
      <c r="D86" s="2">
        <v>0</v>
      </c>
      <c r="E86" s="2">
        <v>100</v>
      </c>
      <c r="F86" t="s">
        <v>231</v>
      </c>
    </row>
    <row r="87" spans="1:6" x14ac:dyDescent="0.25">
      <c r="A87" t="s">
        <v>115</v>
      </c>
      <c r="B87" t="s">
        <v>75</v>
      </c>
      <c r="C87" t="s">
        <v>140</v>
      </c>
      <c r="D87" s="2">
        <v>0</v>
      </c>
      <c r="E87" s="2">
        <v>0.5</v>
      </c>
      <c r="F87" t="s">
        <v>232</v>
      </c>
    </row>
    <row r="88" spans="1:6" x14ac:dyDescent="0.25">
      <c r="A88" t="s">
        <v>116</v>
      </c>
      <c r="B88" t="s">
        <v>76</v>
      </c>
      <c r="C88" t="s">
        <v>104</v>
      </c>
      <c r="D88" s="2">
        <v>10000</v>
      </c>
      <c r="E88" s="2">
        <v>1000000</v>
      </c>
      <c r="F88" t="s">
        <v>233</v>
      </c>
    </row>
    <row r="89" spans="1:6" x14ac:dyDescent="0.25">
      <c r="A89" t="s">
        <v>116</v>
      </c>
      <c r="B89" t="s">
        <v>77</v>
      </c>
      <c r="C89" t="s">
        <v>106</v>
      </c>
      <c r="D89" s="2">
        <v>1</v>
      </c>
      <c r="E89" s="2">
        <v>10</v>
      </c>
      <c r="F89" t="s">
        <v>234</v>
      </c>
    </row>
    <row r="90" spans="1:6" x14ac:dyDescent="0.25">
      <c r="A90" t="s">
        <v>114</v>
      </c>
      <c r="B90" t="s">
        <v>78</v>
      </c>
      <c r="C90" t="s">
        <v>104</v>
      </c>
      <c r="D90" s="2">
        <v>10000000</v>
      </c>
      <c r="E90" s="2">
        <v>-10000000</v>
      </c>
      <c r="F90" t="s">
        <v>235</v>
      </c>
    </row>
    <row r="91" spans="1:6" x14ac:dyDescent="0.25">
      <c r="A91" t="s">
        <v>127</v>
      </c>
      <c r="B91" t="s">
        <v>79</v>
      </c>
      <c r="C91" t="s">
        <v>101</v>
      </c>
      <c r="D91" s="2">
        <v>0</v>
      </c>
      <c r="E91" s="2">
        <f>PI()/2</f>
        <v>1.5707963267948966</v>
      </c>
      <c r="F91" t="s">
        <v>236</v>
      </c>
    </row>
    <row r="92" spans="1:6" x14ac:dyDescent="0.25">
      <c r="A92" t="s">
        <v>127</v>
      </c>
      <c r="B92" t="s">
        <v>80</v>
      </c>
      <c r="C92" t="s">
        <v>101</v>
      </c>
      <c r="D92" s="2">
        <v>0</v>
      </c>
      <c r="E92" s="2">
        <f>PI()/2</f>
        <v>1.5707963267948966</v>
      </c>
      <c r="F92" t="s">
        <v>237</v>
      </c>
    </row>
    <row r="93" spans="1:6" x14ac:dyDescent="0.25">
      <c r="A93" t="s">
        <v>127</v>
      </c>
      <c r="B93" t="s">
        <v>81</v>
      </c>
      <c r="C93" t="s">
        <v>101</v>
      </c>
      <c r="D93" s="2">
        <v>0</v>
      </c>
      <c r="E93" s="2">
        <f>PI()/2</f>
        <v>1.5707963267948966</v>
      </c>
      <c r="F93" t="s">
        <v>236</v>
      </c>
    </row>
    <row r="94" spans="1:6" x14ac:dyDescent="0.25">
      <c r="A94" t="s">
        <v>127</v>
      </c>
      <c r="B94" t="s">
        <v>82</v>
      </c>
      <c r="C94" t="s">
        <v>104</v>
      </c>
      <c r="D94" s="2">
        <v>0</v>
      </c>
      <c r="E94" s="2">
        <v>200000000</v>
      </c>
      <c r="F94" t="s">
        <v>238</v>
      </c>
    </row>
    <row r="95" spans="1:6" x14ac:dyDescent="0.25">
      <c r="A95" t="s">
        <v>127</v>
      </c>
      <c r="B95" t="s">
        <v>83</v>
      </c>
      <c r="C95" t="s">
        <v>104</v>
      </c>
      <c r="D95" s="2">
        <v>0</v>
      </c>
      <c r="E95" s="2">
        <v>200000000</v>
      </c>
      <c r="F95" t="s">
        <v>239</v>
      </c>
    </row>
    <row r="96" spans="1:6" x14ac:dyDescent="0.25">
      <c r="A96" t="s">
        <v>127</v>
      </c>
      <c r="B96" t="s">
        <v>84</v>
      </c>
      <c r="C96" t="s">
        <v>104</v>
      </c>
      <c r="D96" s="2">
        <v>0</v>
      </c>
      <c r="E96" s="2">
        <v>200000000</v>
      </c>
      <c r="F96" t="s">
        <v>238</v>
      </c>
    </row>
    <row r="97" spans="1:6" x14ac:dyDescent="0.25">
      <c r="A97" t="s">
        <v>128</v>
      </c>
      <c r="B97" t="s">
        <v>85</v>
      </c>
      <c r="C97" t="s">
        <v>104</v>
      </c>
      <c r="D97" s="2">
        <v>0</v>
      </c>
      <c r="E97" s="2">
        <v>200000000</v>
      </c>
      <c r="F97" t="s">
        <v>240</v>
      </c>
    </row>
    <row r="98" spans="1:6" x14ac:dyDescent="0.25">
      <c r="A98" t="s">
        <v>128</v>
      </c>
      <c r="B98" t="s">
        <v>86</v>
      </c>
      <c r="C98" t="s">
        <v>101</v>
      </c>
      <c r="D98" s="2">
        <v>0</v>
      </c>
      <c r="E98" s="2">
        <f>PI()/2</f>
        <v>1.5707963267948966</v>
      </c>
      <c r="F98" t="s">
        <v>241</v>
      </c>
    </row>
    <row r="99" spans="1:6" x14ac:dyDescent="0.25">
      <c r="A99" t="s">
        <v>128</v>
      </c>
      <c r="B99" t="s">
        <v>87</v>
      </c>
      <c r="C99" t="s">
        <v>146</v>
      </c>
      <c r="D99" s="2">
        <v>0</v>
      </c>
      <c r="E99" s="2">
        <v>10000000</v>
      </c>
      <c r="F99" t="s">
        <v>242</v>
      </c>
    </row>
    <row r="100" spans="1:6" x14ac:dyDescent="0.25">
      <c r="A100" t="s">
        <v>129</v>
      </c>
      <c r="B100" t="s">
        <v>88</v>
      </c>
      <c r="C100" t="s">
        <v>141</v>
      </c>
      <c r="D100" s="2">
        <v>0</v>
      </c>
      <c r="E100" s="2">
        <v>1</v>
      </c>
      <c r="F100" t="s">
        <v>243</v>
      </c>
    </row>
    <row r="101" spans="1:6" x14ac:dyDescent="0.25">
      <c r="A101" t="s">
        <v>129</v>
      </c>
      <c r="B101" t="s">
        <v>89</v>
      </c>
      <c r="C101" t="s">
        <v>142</v>
      </c>
      <c r="D101" s="2">
        <v>0</v>
      </c>
      <c r="E101" s="2">
        <v>10000</v>
      </c>
      <c r="F101" t="s">
        <v>244</v>
      </c>
    </row>
    <row r="102" spans="1:6" x14ac:dyDescent="0.25">
      <c r="A102" t="s">
        <v>129</v>
      </c>
      <c r="B102" t="s">
        <v>90</v>
      </c>
      <c r="C102" t="s">
        <v>111</v>
      </c>
      <c r="D102" s="2">
        <v>0</v>
      </c>
      <c r="E102" s="2">
        <v>10000000</v>
      </c>
      <c r="F102" t="s">
        <v>245</v>
      </c>
    </row>
    <row r="103" spans="1:6" x14ac:dyDescent="0.25">
      <c r="A103" t="s">
        <v>129</v>
      </c>
      <c r="B103" t="s">
        <v>91</v>
      </c>
      <c r="C103" t="s">
        <v>143</v>
      </c>
      <c r="D103" s="2">
        <v>0</v>
      </c>
      <c r="E103" s="2">
        <v>10000</v>
      </c>
      <c r="F103" t="s">
        <v>246</v>
      </c>
    </row>
    <row r="104" spans="1:6" x14ac:dyDescent="0.25">
      <c r="A104" t="s">
        <v>129</v>
      </c>
      <c r="B104" t="s">
        <v>92</v>
      </c>
      <c r="C104" t="s">
        <v>142</v>
      </c>
      <c r="D104" s="2">
        <v>0</v>
      </c>
      <c r="E104" s="2">
        <v>10000</v>
      </c>
      <c r="F104" t="s">
        <v>247</v>
      </c>
    </row>
    <row r="105" spans="1:6" x14ac:dyDescent="0.25">
      <c r="A105" t="s">
        <v>129</v>
      </c>
      <c r="B105" t="s">
        <v>93</v>
      </c>
      <c r="C105" t="s">
        <v>141</v>
      </c>
      <c r="D105" s="2">
        <v>0</v>
      </c>
      <c r="E105" s="2">
        <v>1</v>
      </c>
      <c r="F105" t="s">
        <v>248</v>
      </c>
    </row>
    <row r="106" spans="1:6" x14ac:dyDescent="0.25">
      <c r="A106" t="s">
        <v>129</v>
      </c>
      <c r="B106" t="s">
        <v>94</v>
      </c>
      <c r="C106" t="s">
        <v>144</v>
      </c>
      <c r="D106" s="2">
        <v>0</v>
      </c>
      <c r="E106" s="2">
        <v>1E-3</v>
      </c>
      <c r="F106" t="s">
        <v>249</v>
      </c>
    </row>
    <row r="107" spans="1:6" x14ac:dyDescent="0.25">
      <c r="A107" t="s">
        <v>129</v>
      </c>
      <c r="B107" t="s">
        <v>94</v>
      </c>
      <c r="C107" t="s">
        <v>147</v>
      </c>
      <c r="D107" s="2">
        <v>1</v>
      </c>
      <c r="E107" s="2">
        <v>10</v>
      </c>
      <c r="F107" t="s">
        <v>250</v>
      </c>
    </row>
    <row r="108" spans="1:6" x14ac:dyDescent="0.25">
      <c r="A108" t="s">
        <v>124</v>
      </c>
      <c r="B108" t="s">
        <v>377</v>
      </c>
      <c r="C108" t="s">
        <v>378</v>
      </c>
      <c r="F108" t="s">
        <v>431</v>
      </c>
    </row>
    <row r="109" spans="1:6" x14ac:dyDescent="0.25">
      <c r="A109" t="s">
        <v>129</v>
      </c>
      <c r="B109" t="s">
        <v>379</v>
      </c>
      <c r="C109" t="s">
        <v>426</v>
      </c>
      <c r="F109" t="s">
        <v>432</v>
      </c>
    </row>
    <row r="110" spans="1:6" x14ac:dyDescent="0.25">
      <c r="A110" t="s">
        <v>380</v>
      </c>
      <c r="B110" t="s">
        <v>377</v>
      </c>
      <c r="C110" t="s">
        <v>427</v>
      </c>
      <c r="F110" t="s">
        <v>433</v>
      </c>
    </row>
    <row r="111" spans="1:6" x14ac:dyDescent="0.25">
      <c r="A111" t="s">
        <v>381</v>
      </c>
      <c r="B111" t="s">
        <v>31</v>
      </c>
      <c r="C111" t="s">
        <v>382</v>
      </c>
      <c r="F111" t="s">
        <v>434</v>
      </c>
    </row>
    <row r="112" spans="1:6" x14ac:dyDescent="0.25">
      <c r="A112" t="s">
        <v>381</v>
      </c>
      <c r="B112" t="s">
        <v>383</v>
      </c>
      <c r="C112" t="s">
        <v>133</v>
      </c>
      <c r="F112" t="s">
        <v>435</v>
      </c>
    </row>
    <row r="113" spans="1:6" x14ac:dyDescent="0.25">
      <c r="A113" t="s">
        <v>124</v>
      </c>
      <c r="B113" t="s">
        <v>384</v>
      </c>
      <c r="C113" t="s">
        <v>378</v>
      </c>
      <c r="F113" t="s">
        <v>436</v>
      </c>
    </row>
    <row r="114" spans="1:6" x14ac:dyDescent="0.25">
      <c r="A114" t="s">
        <v>124</v>
      </c>
      <c r="B114" t="s">
        <v>385</v>
      </c>
      <c r="C114" t="s">
        <v>378</v>
      </c>
      <c r="F114" t="s">
        <v>437</v>
      </c>
    </row>
    <row r="115" spans="1:6" x14ac:dyDescent="0.25">
      <c r="A115" t="s">
        <v>124</v>
      </c>
      <c r="B115" t="s">
        <v>386</v>
      </c>
      <c r="C115" t="s">
        <v>378</v>
      </c>
      <c r="F115" t="s">
        <v>438</v>
      </c>
    </row>
    <row r="116" spans="1:6" x14ac:dyDescent="0.25">
      <c r="A116" t="s">
        <v>381</v>
      </c>
      <c r="B116" t="s">
        <v>383</v>
      </c>
      <c r="C116" t="s">
        <v>428</v>
      </c>
      <c r="F116" t="s">
        <v>439</v>
      </c>
    </row>
    <row r="117" spans="1:6" x14ac:dyDescent="0.25">
      <c r="A117" t="s">
        <v>381</v>
      </c>
      <c r="B117" t="s">
        <v>30</v>
      </c>
      <c r="C117" t="s">
        <v>373</v>
      </c>
      <c r="F117" t="s">
        <v>440</v>
      </c>
    </row>
    <row r="118" spans="1:6" x14ac:dyDescent="0.25">
      <c r="A118" t="s">
        <v>381</v>
      </c>
      <c r="B118" t="s">
        <v>387</v>
      </c>
      <c r="C118" t="s">
        <v>429</v>
      </c>
      <c r="F118" t="s">
        <v>441</v>
      </c>
    </row>
    <row r="119" spans="1:6" x14ac:dyDescent="0.25">
      <c r="A119" t="s">
        <v>381</v>
      </c>
      <c r="B119" t="s">
        <v>388</v>
      </c>
      <c r="C119" t="s">
        <v>382</v>
      </c>
      <c r="F119" t="s">
        <v>442</v>
      </c>
    </row>
    <row r="120" spans="1:6" x14ac:dyDescent="0.25">
      <c r="A120" t="s">
        <v>389</v>
      </c>
      <c r="B120" t="s">
        <v>31</v>
      </c>
      <c r="C120" t="s">
        <v>382</v>
      </c>
      <c r="F120" t="s">
        <v>443</v>
      </c>
    </row>
    <row r="121" spans="1:6" x14ac:dyDescent="0.25">
      <c r="A121" t="s">
        <v>389</v>
      </c>
      <c r="B121" t="s">
        <v>383</v>
      </c>
      <c r="C121" t="s">
        <v>428</v>
      </c>
      <c r="F121" t="s">
        <v>444</v>
      </c>
    </row>
    <row r="122" spans="1:6" x14ac:dyDescent="0.25">
      <c r="A122" t="s">
        <v>389</v>
      </c>
      <c r="B122" t="s">
        <v>30</v>
      </c>
      <c r="C122" t="s">
        <v>373</v>
      </c>
      <c r="F122" t="s">
        <v>445</v>
      </c>
    </row>
    <row r="123" spans="1:6" x14ac:dyDescent="0.25">
      <c r="A123" t="s">
        <v>389</v>
      </c>
      <c r="B123" t="s">
        <v>387</v>
      </c>
      <c r="C123" t="s">
        <v>429</v>
      </c>
      <c r="F123" t="s">
        <v>446</v>
      </c>
    </row>
    <row r="124" spans="1:6" x14ac:dyDescent="0.25">
      <c r="A124" t="s">
        <v>129</v>
      </c>
      <c r="B124" t="s">
        <v>390</v>
      </c>
      <c r="C124" t="s">
        <v>426</v>
      </c>
      <c r="F124" t="s">
        <v>447</v>
      </c>
    </row>
    <row r="125" spans="1:6" x14ac:dyDescent="0.25">
      <c r="A125" t="s">
        <v>129</v>
      </c>
      <c r="B125" t="s">
        <v>391</v>
      </c>
      <c r="C125" t="s">
        <v>426</v>
      </c>
      <c r="F125" t="s">
        <v>448</v>
      </c>
    </row>
    <row r="126" spans="1:6" x14ac:dyDescent="0.25">
      <c r="A126" t="s">
        <v>129</v>
      </c>
      <c r="B126" t="s">
        <v>392</v>
      </c>
      <c r="C126" t="s">
        <v>426</v>
      </c>
      <c r="F126" t="s">
        <v>449</v>
      </c>
    </row>
    <row r="127" spans="1:6" x14ac:dyDescent="0.25">
      <c r="A127" t="s">
        <v>129</v>
      </c>
      <c r="B127" t="s">
        <v>393</v>
      </c>
      <c r="C127" t="s">
        <v>426</v>
      </c>
      <c r="F127" t="s">
        <v>450</v>
      </c>
    </row>
    <row r="128" spans="1:6" x14ac:dyDescent="0.25">
      <c r="A128" t="s">
        <v>129</v>
      </c>
      <c r="B128" t="s">
        <v>394</v>
      </c>
      <c r="C128" t="s">
        <v>426</v>
      </c>
      <c r="F128" t="s">
        <v>451</v>
      </c>
    </row>
    <row r="129" spans="1:6" x14ac:dyDescent="0.25">
      <c r="A129" t="s">
        <v>380</v>
      </c>
      <c r="B129" t="s">
        <v>384</v>
      </c>
      <c r="C129" t="s">
        <v>427</v>
      </c>
      <c r="F129" t="s">
        <v>452</v>
      </c>
    </row>
    <row r="130" spans="1:6" x14ac:dyDescent="0.25">
      <c r="A130" t="s">
        <v>380</v>
      </c>
      <c r="B130" t="s">
        <v>386</v>
      </c>
      <c r="C130" t="s">
        <v>427</v>
      </c>
      <c r="F130" t="s">
        <v>453</v>
      </c>
    </row>
    <row r="131" spans="1:6" x14ac:dyDescent="0.25">
      <c r="A131" t="s">
        <v>395</v>
      </c>
      <c r="B131" t="s">
        <v>396</v>
      </c>
      <c r="C131" t="s">
        <v>374</v>
      </c>
      <c r="F131" t="s">
        <v>454</v>
      </c>
    </row>
    <row r="132" spans="1:6" x14ac:dyDescent="0.25">
      <c r="A132" t="s">
        <v>395</v>
      </c>
      <c r="B132" t="s">
        <v>397</v>
      </c>
      <c r="C132" t="s">
        <v>373</v>
      </c>
      <c r="F132" t="s">
        <v>455</v>
      </c>
    </row>
    <row r="133" spans="1:6" x14ac:dyDescent="0.25">
      <c r="A133" t="s">
        <v>395</v>
      </c>
      <c r="B133" t="s">
        <v>398</v>
      </c>
      <c r="C133" t="s">
        <v>382</v>
      </c>
      <c r="F133" t="s">
        <v>456</v>
      </c>
    </row>
    <row r="134" spans="1:6" x14ac:dyDescent="0.25">
      <c r="A134" t="s">
        <v>395</v>
      </c>
      <c r="B134" t="s">
        <v>399</v>
      </c>
      <c r="C134" t="s">
        <v>374</v>
      </c>
      <c r="F134" t="s">
        <v>457</v>
      </c>
    </row>
    <row r="135" spans="1:6" x14ac:dyDescent="0.25">
      <c r="A135" t="s">
        <v>395</v>
      </c>
      <c r="B135" t="s">
        <v>400</v>
      </c>
      <c r="C135" t="s">
        <v>430</v>
      </c>
      <c r="F135" t="s">
        <v>458</v>
      </c>
    </row>
    <row r="136" spans="1:6" x14ac:dyDescent="0.25">
      <c r="A136" t="s">
        <v>395</v>
      </c>
      <c r="B136" t="s">
        <v>401</v>
      </c>
      <c r="C136" t="s">
        <v>375</v>
      </c>
      <c r="F136" t="s">
        <v>459</v>
      </c>
    </row>
    <row r="137" spans="1:6" x14ac:dyDescent="0.25">
      <c r="A137" t="s">
        <v>115</v>
      </c>
      <c r="B137" t="s">
        <v>402</v>
      </c>
      <c r="C137" t="s">
        <v>403</v>
      </c>
      <c r="F137" t="s">
        <v>460</v>
      </c>
    </row>
    <row r="138" spans="1:6" x14ac:dyDescent="0.25">
      <c r="A138" t="s">
        <v>115</v>
      </c>
      <c r="B138" t="s">
        <v>404</v>
      </c>
      <c r="C138" t="s">
        <v>375</v>
      </c>
      <c r="F138" t="s">
        <v>461</v>
      </c>
    </row>
    <row r="139" spans="1:6" x14ac:dyDescent="0.25">
      <c r="A139" t="s">
        <v>115</v>
      </c>
      <c r="B139" t="s">
        <v>405</v>
      </c>
      <c r="C139" t="s">
        <v>382</v>
      </c>
      <c r="F139" t="s">
        <v>462</v>
      </c>
    </row>
    <row r="140" spans="1:6" x14ac:dyDescent="0.25">
      <c r="A140" t="s">
        <v>114</v>
      </c>
      <c r="B140" t="s">
        <v>406</v>
      </c>
      <c r="C140" t="s">
        <v>375</v>
      </c>
      <c r="F140" t="s">
        <v>463</v>
      </c>
    </row>
    <row r="141" spans="1:6" x14ac:dyDescent="0.25">
      <c r="A141" t="s">
        <v>114</v>
      </c>
      <c r="B141" t="s">
        <v>407</v>
      </c>
      <c r="C141" t="s">
        <v>408</v>
      </c>
      <c r="F141" t="s">
        <v>464</v>
      </c>
    </row>
    <row r="142" spans="1:6" x14ac:dyDescent="0.25">
      <c r="A142" t="s">
        <v>114</v>
      </c>
      <c r="B142" t="s">
        <v>409</v>
      </c>
      <c r="C142" t="s">
        <v>375</v>
      </c>
      <c r="F142" t="s">
        <v>465</v>
      </c>
    </row>
    <row r="143" spans="1:6" x14ac:dyDescent="0.25">
      <c r="A143" t="s">
        <v>114</v>
      </c>
      <c r="B143" t="s">
        <v>405</v>
      </c>
      <c r="C143" t="s">
        <v>382</v>
      </c>
      <c r="F143" t="s">
        <v>466</v>
      </c>
    </row>
    <row r="144" spans="1:6" x14ac:dyDescent="0.25">
      <c r="A144" t="s">
        <v>410</v>
      </c>
      <c r="B144" t="s">
        <v>411</v>
      </c>
      <c r="C144" t="s">
        <v>382</v>
      </c>
      <c r="F144" t="s">
        <v>467</v>
      </c>
    </row>
    <row r="145" spans="1:6" x14ac:dyDescent="0.25">
      <c r="A145" t="s">
        <v>410</v>
      </c>
      <c r="B145" t="s">
        <v>412</v>
      </c>
      <c r="C145" t="s">
        <v>382</v>
      </c>
      <c r="F145" t="s">
        <v>468</v>
      </c>
    </row>
    <row r="146" spans="1:6" x14ac:dyDescent="0.25">
      <c r="A146" t="s">
        <v>410</v>
      </c>
      <c r="B146" t="s">
        <v>413</v>
      </c>
      <c r="C146" t="s">
        <v>382</v>
      </c>
      <c r="F146" t="s">
        <v>469</v>
      </c>
    </row>
    <row r="147" spans="1:6" x14ac:dyDescent="0.25">
      <c r="A147" t="s">
        <v>410</v>
      </c>
      <c r="B147" t="s">
        <v>414</v>
      </c>
      <c r="C147" t="s">
        <v>382</v>
      </c>
      <c r="F147" t="s">
        <v>470</v>
      </c>
    </row>
    <row r="148" spans="1:6" x14ac:dyDescent="0.25">
      <c r="A148" t="s">
        <v>415</v>
      </c>
      <c r="B148" t="s">
        <v>416</v>
      </c>
      <c r="C148" t="s">
        <v>417</v>
      </c>
      <c r="F148" t="s">
        <v>471</v>
      </c>
    </row>
    <row r="149" spans="1:6" x14ac:dyDescent="0.25">
      <c r="A149" t="s">
        <v>415</v>
      </c>
      <c r="B149" t="s">
        <v>418</v>
      </c>
      <c r="C149" t="s">
        <v>419</v>
      </c>
      <c r="F149" t="s">
        <v>472</v>
      </c>
    </row>
    <row r="150" spans="1:6" x14ac:dyDescent="0.25">
      <c r="A150" t="s">
        <v>420</v>
      </c>
      <c r="B150" t="s">
        <v>421</v>
      </c>
      <c r="C150" t="s">
        <v>419</v>
      </c>
      <c r="F150" t="s">
        <v>473</v>
      </c>
    </row>
    <row r="151" spans="1:6" x14ac:dyDescent="0.25">
      <c r="A151" t="s">
        <v>420</v>
      </c>
      <c r="B151" t="s">
        <v>422</v>
      </c>
      <c r="C151" t="s">
        <v>419</v>
      </c>
      <c r="F151" t="s">
        <v>474</v>
      </c>
    </row>
    <row r="152" spans="1:6" x14ac:dyDescent="0.25">
      <c r="A152" t="s">
        <v>420</v>
      </c>
      <c r="B152" t="s">
        <v>423</v>
      </c>
      <c r="C152" t="s">
        <v>419</v>
      </c>
      <c r="F152" t="s">
        <v>475</v>
      </c>
    </row>
    <row r="153" spans="1:6" x14ac:dyDescent="0.25">
      <c r="A153" t="s">
        <v>424</v>
      </c>
      <c r="B153" t="s">
        <v>425</v>
      </c>
      <c r="C153" t="s">
        <v>376</v>
      </c>
      <c r="F153" t="s">
        <v>476</v>
      </c>
    </row>
    <row r="154" spans="1:6" x14ac:dyDescent="0.25">
      <c r="A154" t="s">
        <v>424</v>
      </c>
      <c r="B154" t="s">
        <v>30</v>
      </c>
      <c r="C154" t="s">
        <v>376</v>
      </c>
      <c r="F154" t="s">
        <v>477</v>
      </c>
    </row>
    <row r="155" spans="1:6" x14ac:dyDescent="0.25">
      <c r="A155" t="s">
        <v>424</v>
      </c>
      <c r="B155" t="s">
        <v>387</v>
      </c>
      <c r="C155" t="s">
        <v>376</v>
      </c>
      <c r="F155" t="s">
        <v>478</v>
      </c>
    </row>
    <row r="156" spans="1:6" x14ac:dyDescent="0.25">
      <c r="A156" t="s">
        <v>424</v>
      </c>
      <c r="B156" t="s">
        <v>124</v>
      </c>
      <c r="C156" t="s">
        <v>376</v>
      </c>
      <c r="F156" t="s">
        <v>479</v>
      </c>
    </row>
  </sheetData>
  <mergeCells count="3">
    <mergeCell ref="D6:E6"/>
    <mergeCell ref="D7:E7"/>
    <mergeCell ref="D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3AC5-2B76-4F6E-A095-CDD49DA4C20E}">
  <dimension ref="A1:DB5"/>
  <sheetViews>
    <sheetView topLeftCell="BP1" workbookViewId="0">
      <selection activeCell="BY35" sqref="BY35"/>
    </sheetView>
  </sheetViews>
  <sheetFormatPr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1">
        <v>0</v>
      </c>
      <c r="I2" s="1">
        <v>3999</v>
      </c>
      <c r="J2" s="1">
        <v>0</v>
      </c>
      <c r="K2" s="1">
        <v>450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>
        <v>0.1</v>
      </c>
      <c r="X2" s="1">
        <v>0</v>
      </c>
      <c r="Y2">
        <v>293.14999999999998</v>
      </c>
      <c r="Z2" s="1">
        <v>-1000000</v>
      </c>
      <c r="AA2">
        <v>0.1</v>
      </c>
      <c r="AB2" s="1">
        <v>10</v>
      </c>
      <c r="AC2" s="1">
        <v>10</v>
      </c>
      <c r="AD2" s="1">
        <v>1</v>
      </c>
      <c r="AE2">
        <v>0.01</v>
      </c>
      <c r="AF2" s="1">
        <v>4</v>
      </c>
      <c r="AG2">
        <v>0</v>
      </c>
      <c r="AH2" s="1">
        <v>0</v>
      </c>
      <c r="AI2">
        <v>1E-4</v>
      </c>
      <c r="AJ2" s="1">
        <v>0</v>
      </c>
      <c r="AK2" s="1">
        <v>0</v>
      </c>
      <c r="AL2" s="1">
        <v>0</v>
      </c>
      <c r="AM2">
        <v>2.1899999999999999E-2</v>
      </c>
      <c r="AN2" s="1">
        <v>2350</v>
      </c>
      <c r="AO2">
        <v>2.27</v>
      </c>
      <c r="AP2" s="1">
        <v>1900</v>
      </c>
      <c r="AQ2" s="1">
        <v>45000000000</v>
      </c>
      <c r="AR2">
        <v>0.26</v>
      </c>
      <c r="AS2" s="1">
        <v>9.8600000000000004E-12</v>
      </c>
      <c r="AT2">
        <v>287.89999999999998</v>
      </c>
      <c r="AU2" s="1">
        <v>0</v>
      </c>
      <c r="AV2">
        <v>0.3</v>
      </c>
      <c r="AW2">
        <v>-0.35</v>
      </c>
      <c r="AX2">
        <v>0</v>
      </c>
      <c r="AY2">
        <v>0</v>
      </c>
      <c r="AZ2">
        <v>0.61</v>
      </c>
      <c r="BA2">
        <v>8.0000000000000004E-4</v>
      </c>
      <c r="BB2">
        <v>8.0000000000000002E-3</v>
      </c>
      <c r="BC2">
        <v>5.0476588000000003E-2</v>
      </c>
      <c r="BD2" s="1">
        <v>0</v>
      </c>
      <c r="BE2">
        <v>0.15</v>
      </c>
      <c r="BF2">
        <v>0.7</v>
      </c>
      <c r="BG2" s="1">
        <v>0</v>
      </c>
      <c r="BH2">
        <v>0.4</v>
      </c>
      <c r="BI2" s="1">
        <v>1</v>
      </c>
      <c r="BJ2" s="1">
        <v>1.6000000000000001E-9</v>
      </c>
      <c r="BK2" s="1">
        <v>2.3199999999999999E-8</v>
      </c>
      <c r="BL2" s="1">
        <v>8.0000000000000002E-8</v>
      </c>
      <c r="BM2" s="1">
        <v>4.0000000000000003E-5</v>
      </c>
      <c r="BN2" s="1">
        <v>8.0000000000000007E-5</v>
      </c>
      <c r="BO2">
        <v>1.6000000000000001E-4</v>
      </c>
      <c r="BP2">
        <v>0.1</v>
      </c>
      <c r="BQ2">
        <v>0.15</v>
      </c>
      <c r="BR2">
        <v>0.8</v>
      </c>
      <c r="BS2" s="1">
        <v>1.6000000000000001E-9</v>
      </c>
      <c r="BT2" s="1">
        <v>2.3199999999999999E-8</v>
      </c>
      <c r="BU2" s="1">
        <v>8.0000000000000002E-8</v>
      </c>
      <c r="BV2" s="1">
        <v>9.9999999999999998E-13</v>
      </c>
      <c r="BW2" s="1">
        <v>9.9999999999999994E-12</v>
      </c>
      <c r="BX2" s="1">
        <v>1E-10</v>
      </c>
      <c r="BY2">
        <v>1.6</v>
      </c>
      <c r="BZ2" s="1">
        <v>1600</v>
      </c>
      <c r="CA2" s="1">
        <v>0</v>
      </c>
      <c r="CB2" s="1">
        <v>0</v>
      </c>
      <c r="CC2">
        <v>2.4</v>
      </c>
      <c r="CD2" s="1">
        <v>920</v>
      </c>
      <c r="CE2" s="1">
        <v>0</v>
      </c>
      <c r="CF2" s="1">
        <v>20</v>
      </c>
      <c r="CG2" s="1">
        <v>10</v>
      </c>
      <c r="CH2" s="1">
        <v>5</v>
      </c>
      <c r="CI2">
        <v>0.117173048</v>
      </c>
      <c r="CJ2" s="1">
        <v>0</v>
      </c>
      <c r="CK2" s="1">
        <v>0</v>
      </c>
      <c r="CL2">
        <v>0.27925267999999998</v>
      </c>
      <c r="CM2">
        <v>0.488692191</v>
      </c>
      <c r="CN2">
        <v>0.69813170099999999</v>
      </c>
      <c r="CO2" s="1">
        <v>800000</v>
      </c>
      <c r="CP2" s="1">
        <v>5600000</v>
      </c>
      <c r="CQ2" s="1">
        <v>12000000</v>
      </c>
      <c r="CR2" s="1">
        <v>100000</v>
      </c>
      <c r="CS2">
        <v>0.26</v>
      </c>
      <c r="CT2" s="1">
        <v>1200000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</row>
    <row r="3" spans="1:106" x14ac:dyDescent="0.25">
      <c r="A3" t="s">
        <v>369</v>
      </c>
      <c r="B3" t="s">
        <v>370</v>
      </c>
      <c r="D3">
        <v>2000</v>
      </c>
      <c r="E3" t="s">
        <v>371</v>
      </c>
      <c r="F3" t="s">
        <v>360</v>
      </c>
      <c r="G3" t="s">
        <v>372</v>
      </c>
      <c r="H3">
        <v>482.84654661816802</v>
      </c>
      <c r="I3">
        <v>3999.73717414469</v>
      </c>
      <c r="J3">
        <v>4</v>
      </c>
      <c r="K3">
        <v>461.48331597277399</v>
      </c>
      <c r="L3">
        <v>1500</v>
      </c>
      <c r="M3">
        <v>0.8</v>
      </c>
      <c r="N3">
        <v>0</v>
      </c>
      <c r="O3">
        <v>0.436</v>
      </c>
      <c r="P3">
        <v>0.78500000000000003</v>
      </c>
      <c r="Q3">
        <v>0</v>
      </c>
      <c r="R3">
        <v>0</v>
      </c>
      <c r="S3">
        <v>0.1143</v>
      </c>
      <c r="T3">
        <v>0.127</v>
      </c>
      <c r="U3">
        <v>0.15240000000000001</v>
      </c>
      <c r="V3">
        <v>80</v>
      </c>
      <c r="W3">
        <v>0.13852824206961301</v>
      </c>
      <c r="X3">
        <v>1000000</v>
      </c>
      <c r="Y3">
        <v>313.13704986270102</v>
      </c>
      <c r="Z3">
        <v>140000000</v>
      </c>
      <c r="AA3">
        <v>0.18466043487546999</v>
      </c>
      <c r="AB3">
        <v>400</v>
      </c>
      <c r="AC3">
        <v>84.614644707739501</v>
      </c>
      <c r="AD3">
        <v>9</v>
      </c>
      <c r="AE3">
        <v>1.4999999999999999E-2</v>
      </c>
      <c r="AF3">
        <v>6</v>
      </c>
      <c r="AG3">
        <v>1E-4</v>
      </c>
      <c r="AH3">
        <v>2000</v>
      </c>
      <c r="AI3">
        <v>7.5566313375753701E-4</v>
      </c>
      <c r="AJ3">
        <v>30</v>
      </c>
      <c r="AK3">
        <v>20000</v>
      </c>
      <c r="AL3">
        <v>1</v>
      </c>
      <c r="AM3">
        <v>4.8177302214707299E-2</v>
      </c>
      <c r="AN3">
        <v>2618.0004830069502</v>
      </c>
      <c r="AO3">
        <v>3.3895644870582702</v>
      </c>
      <c r="AP3">
        <v>2135.5729085211901</v>
      </c>
      <c r="AQ3">
        <v>56043408701.194199</v>
      </c>
      <c r="AR3">
        <v>0.36148635694469999</v>
      </c>
      <c r="AS3" s="1">
        <v>9.8689999999999997E-10</v>
      </c>
      <c r="AT3">
        <v>290.14999999999998</v>
      </c>
      <c r="AU3">
        <v>101000</v>
      </c>
      <c r="AV3">
        <v>0.38724581466305802</v>
      </c>
      <c r="AW3">
        <v>-0.15596763449605</v>
      </c>
      <c r="AX3">
        <v>0.63268067528786298</v>
      </c>
      <c r="AY3">
        <v>1.3089999999999999E-2</v>
      </c>
      <c r="AZ3">
        <v>0.89684844913156103</v>
      </c>
      <c r="BA3">
        <v>1E-3</v>
      </c>
      <c r="BB3">
        <v>0.01</v>
      </c>
      <c r="BC3">
        <v>6.3E-2</v>
      </c>
      <c r="BD3">
        <v>0</v>
      </c>
      <c r="BE3">
        <v>0.2</v>
      </c>
      <c r="BF3">
        <v>0.4</v>
      </c>
      <c r="BG3">
        <v>0</v>
      </c>
      <c r="BH3">
        <v>0.6</v>
      </c>
      <c r="BI3">
        <v>2</v>
      </c>
      <c r="BJ3" s="1">
        <v>2.0000000000000001E-9</v>
      </c>
      <c r="BK3" s="1">
        <v>2.9000000000000002E-8</v>
      </c>
      <c r="BL3" s="1">
        <v>9.9999999999999995E-8</v>
      </c>
      <c r="BM3" s="1">
        <v>1.0000000000000001E-5</v>
      </c>
      <c r="BN3">
        <v>5.0000000000000001E-4</v>
      </c>
      <c r="BO3">
        <v>1E-3</v>
      </c>
      <c r="BP3">
        <v>6.25E-2</v>
      </c>
      <c r="BQ3">
        <v>0.25</v>
      </c>
      <c r="BR3">
        <v>1</v>
      </c>
      <c r="BS3" s="1">
        <v>2.0000000000000001E-9</v>
      </c>
      <c r="BT3" s="1">
        <v>2.8999999999999999E-9</v>
      </c>
      <c r="BU3" s="1">
        <v>9.9999999999999995E-8</v>
      </c>
      <c r="BV3" s="1">
        <v>9.9999999999999998E-13</v>
      </c>
      <c r="BW3" s="1">
        <v>1.1233665314467E-11</v>
      </c>
      <c r="BX3" s="1">
        <v>9.9999999999999998E-13</v>
      </c>
      <c r="BY3">
        <v>2</v>
      </c>
      <c r="BZ3">
        <v>2000</v>
      </c>
      <c r="CA3">
        <v>0.85</v>
      </c>
      <c r="CB3">
        <v>473364000</v>
      </c>
      <c r="CC3">
        <v>3</v>
      </c>
      <c r="CD3">
        <v>920.32397897167596</v>
      </c>
      <c r="CE3">
        <v>2.0000000000000001E-4</v>
      </c>
      <c r="CF3">
        <v>39.225461090005098</v>
      </c>
      <c r="CG3">
        <v>15</v>
      </c>
      <c r="CH3">
        <v>7</v>
      </c>
      <c r="CI3">
        <v>0.126979372936808</v>
      </c>
      <c r="CJ3">
        <v>150</v>
      </c>
      <c r="CK3">
        <v>1500</v>
      </c>
      <c r="CL3">
        <v>0.52</v>
      </c>
      <c r="CM3">
        <v>0.7</v>
      </c>
      <c r="CN3">
        <v>0.87</v>
      </c>
      <c r="CO3">
        <v>1000000</v>
      </c>
      <c r="CP3">
        <v>3000000</v>
      </c>
      <c r="CQ3">
        <v>6000000</v>
      </c>
      <c r="CR3">
        <v>255410.44343986601</v>
      </c>
      <c r="CS3">
        <v>0.30823614606071398</v>
      </c>
      <c r="CT3">
        <v>1500000</v>
      </c>
      <c r="CU3">
        <v>0.13719999999999999</v>
      </c>
      <c r="CV3">
        <v>2763.06</v>
      </c>
      <c r="CW3">
        <v>590000</v>
      </c>
      <c r="CX3">
        <v>2025.65</v>
      </c>
      <c r="CY3">
        <v>2683.41</v>
      </c>
      <c r="CZ3">
        <v>3.6479999999999999E-2</v>
      </c>
      <c r="DA3">
        <v>2.0000000000000001E-4</v>
      </c>
      <c r="DB3">
        <v>5</v>
      </c>
    </row>
    <row r="4" spans="1:106" x14ac:dyDescent="0.25">
      <c r="H4" s="1">
        <v>1200</v>
      </c>
      <c r="I4" s="1">
        <v>4001</v>
      </c>
      <c r="J4" s="1">
        <v>0</v>
      </c>
      <c r="K4" s="1">
        <v>550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>
        <v>0.3</v>
      </c>
      <c r="X4" s="1">
        <v>10000000</v>
      </c>
      <c r="Y4">
        <v>333.15</v>
      </c>
      <c r="Z4" s="1">
        <v>0</v>
      </c>
      <c r="AA4">
        <v>0.3</v>
      </c>
      <c r="AB4" s="1">
        <v>3000000</v>
      </c>
      <c r="AC4" s="1">
        <v>4000</v>
      </c>
      <c r="AD4" s="1">
        <v>100</v>
      </c>
      <c r="AE4">
        <v>1.4E-2</v>
      </c>
      <c r="AF4" s="1">
        <v>6</v>
      </c>
      <c r="AG4">
        <v>0.05</v>
      </c>
      <c r="AH4" s="1">
        <v>0</v>
      </c>
      <c r="AI4">
        <v>1E-3</v>
      </c>
      <c r="AJ4" s="1">
        <v>0</v>
      </c>
      <c r="AK4" s="1">
        <v>0</v>
      </c>
      <c r="AL4" s="1">
        <v>0</v>
      </c>
      <c r="AM4">
        <v>5.7200000000000001E-2</v>
      </c>
      <c r="AN4" s="1">
        <v>2950</v>
      </c>
      <c r="AO4">
        <v>3.58</v>
      </c>
      <c r="AP4" s="1">
        <v>2220</v>
      </c>
      <c r="AQ4" s="1">
        <v>62000000000</v>
      </c>
      <c r="AR4">
        <v>0.4</v>
      </c>
      <c r="AS4" s="1">
        <v>9.859999999999999E-10</v>
      </c>
      <c r="AT4">
        <v>293.39999999999998</v>
      </c>
      <c r="AU4" s="1">
        <v>0</v>
      </c>
      <c r="AV4">
        <v>0.6</v>
      </c>
      <c r="AW4">
        <v>0.35</v>
      </c>
      <c r="AX4">
        <v>0.7</v>
      </c>
      <c r="AY4">
        <v>1.3726646E-2</v>
      </c>
      <c r="AZ4">
        <v>1</v>
      </c>
      <c r="BA4">
        <v>1.1999999999999999E-3</v>
      </c>
      <c r="BB4">
        <v>1.2E-2</v>
      </c>
      <c r="BC4">
        <v>7.5714880999999998E-2</v>
      </c>
      <c r="BD4" s="1">
        <v>0</v>
      </c>
      <c r="BE4">
        <v>0.25</v>
      </c>
      <c r="BF4">
        <v>0.9</v>
      </c>
      <c r="BG4" s="1">
        <v>0</v>
      </c>
      <c r="BH4">
        <v>0.8</v>
      </c>
      <c r="BI4" s="1">
        <v>3</v>
      </c>
      <c r="BJ4" s="1">
        <v>2.4E-9</v>
      </c>
      <c r="BK4" s="1">
        <v>3.4800000000000001E-8</v>
      </c>
      <c r="BL4" s="1">
        <v>1.1999999999999999E-7</v>
      </c>
      <c r="BM4" s="1">
        <v>6.0000000000000002E-5</v>
      </c>
      <c r="BN4">
        <v>1.2E-4</v>
      </c>
      <c r="BO4">
        <v>2.4000000000000001E-4</v>
      </c>
      <c r="BP4">
        <v>0.15</v>
      </c>
      <c r="BQ4">
        <v>0.5</v>
      </c>
      <c r="BR4">
        <v>1.2</v>
      </c>
      <c r="BS4" s="1">
        <v>2.4E-9</v>
      </c>
      <c r="BT4" s="1">
        <v>3.4800000000000001E-8</v>
      </c>
      <c r="BU4" s="1">
        <v>1.1999999999999999E-7</v>
      </c>
      <c r="BV4" s="1">
        <v>3.0000000000000001E-12</v>
      </c>
      <c r="BW4" s="1">
        <v>1.0000000000000001E-9</v>
      </c>
      <c r="BX4" s="1">
        <v>3E-10</v>
      </c>
      <c r="BY4">
        <v>2.4</v>
      </c>
      <c r="BZ4" s="1">
        <v>2400</v>
      </c>
      <c r="CA4" s="1">
        <v>0</v>
      </c>
      <c r="CB4" s="1">
        <v>0</v>
      </c>
      <c r="CC4">
        <v>3.6</v>
      </c>
      <c r="CD4" s="1">
        <v>932</v>
      </c>
      <c r="CE4" s="1">
        <v>0</v>
      </c>
      <c r="CF4" s="1">
        <v>40</v>
      </c>
      <c r="CG4" s="1">
        <v>20</v>
      </c>
      <c r="CH4" s="1">
        <v>10</v>
      </c>
      <c r="CI4">
        <v>0.12717304800000001</v>
      </c>
      <c r="CJ4" s="1">
        <v>5000</v>
      </c>
      <c r="CK4" s="1">
        <v>5000</v>
      </c>
      <c r="CL4">
        <v>0.41887901999999999</v>
      </c>
      <c r="CM4">
        <v>0.73303828599999998</v>
      </c>
      <c r="CN4">
        <v>1.047197551</v>
      </c>
      <c r="CO4" s="1">
        <v>1200000</v>
      </c>
      <c r="CP4" s="1">
        <v>8400000</v>
      </c>
      <c r="CQ4" s="1">
        <v>18000000</v>
      </c>
      <c r="CR4" s="1">
        <v>400000</v>
      </c>
      <c r="CS4">
        <v>0.61</v>
      </c>
      <c r="CT4" s="1">
        <v>1800000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147</v>
      </c>
      <c r="K5" t="s">
        <v>358</v>
      </c>
      <c r="L5" t="s">
        <v>147</v>
      </c>
      <c r="M5" t="s">
        <v>147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 t="s">
        <v>359</v>
      </c>
      <c r="X5" t="s">
        <v>147</v>
      </c>
      <c r="Y5" t="s">
        <v>358</v>
      </c>
      <c r="Z5" t="s">
        <v>147</v>
      </c>
      <c r="AA5" t="s">
        <v>359</v>
      </c>
      <c r="AB5" t="s">
        <v>147</v>
      </c>
      <c r="AC5" t="s">
        <v>358</v>
      </c>
      <c r="AD5" t="s">
        <v>147</v>
      </c>
      <c r="AE5" t="s">
        <v>147</v>
      </c>
      <c r="AF5" t="s">
        <v>147</v>
      </c>
      <c r="AG5" t="s">
        <v>147</v>
      </c>
      <c r="AH5" t="s">
        <v>147</v>
      </c>
      <c r="AI5" t="s">
        <v>358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147</v>
      </c>
      <c r="AT5" t="s">
        <v>147</v>
      </c>
      <c r="AU5" t="s">
        <v>147</v>
      </c>
      <c r="AV5" t="s">
        <v>358</v>
      </c>
      <c r="AW5" t="s">
        <v>358</v>
      </c>
      <c r="AX5" t="s">
        <v>358</v>
      </c>
      <c r="AY5" t="s">
        <v>147</v>
      </c>
      <c r="AZ5" t="s">
        <v>358</v>
      </c>
      <c r="BA5" t="s">
        <v>147</v>
      </c>
      <c r="BB5" t="s">
        <v>147</v>
      </c>
      <c r="BC5" t="s">
        <v>147</v>
      </c>
      <c r="BD5" t="s">
        <v>147</v>
      </c>
      <c r="BE5" t="s">
        <v>147</v>
      </c>
      <c r="BF5" t="s">
        <v>147</v>
      </c>
      <c r="BG5" t="s">
        <v>147</v>
      </c>
      <c r="BH5" t="s">
        <v>147</v>
      </c>
      <c r="BI5" t="s">
        <v>147</v>
      </c>
      <c r="BJ5" t="s">
        <v>147</v>
      </c>
      <c r="BK5" t="s">
        <v>147</v>
      </c>
      <c r="BL5" t="s">
        <v>147</v>
      </c>
      <c r="BM5" t="s">
        <v>147</v>
      </c>
      <c r="BN5" t="s">
        <v>147</v>
      </c>
      <c r="BO5" t="s">
        <v>147</v>
      </c>
      <c r="BP5" t="s">
        <v>147</v>
      </c>
      <c r="BQ5" t="s">
        <v>147</v>
      </c>
      <c r="BR5" t="s">
        <v>147</v>
      </c>
      <c r="BS5" t="s">
        <v>147</v>
      </c>
      <c r="BT5" t="s">
        <v>147</v>
      </c>
      <c r="BU5" t="s">
        <v>147</v>
      </c>
      <c r="BV5" t="s">
        <v>147</v>
      </c>
      <c r="BW5" t="s">
        <v>359</v>
      </c>
      <c r="BX5" t="s">
        <v>147</v>
      </c>
      <c r="BY5" t="s">
        <v>147</v>
      </c>
      <c r="BZ5" t="s">
        <v>147</v>
      </c>
      <c r="CA5" t="s">
        <v>147</v>
      </c>
      <c r="CB5" t="s">
        <v>147</v>
      </c>
      <c r="CC5" t="s">
        <v>147</v>
      </c>
      <c r="CD5" t="s">
        <v>358</v>
      </c>
      <c r="CE5" t="s">
        <v>147</v>
      </c>
      <c r="CF5" t="s">
        <v>358</v>
      </c>
      <c r="CG5" t="s">
        <v>147</v>
      </c>
      <c r="CH5" t="s">
        <v>147</v>
      </c>
      <c r="CI5" t="s">
        <v>358</v>
      </c>
      <c r="CJ5" t="s">
        <v>147</v>
      </c>
      <c r="CK5" t="s">
        <v>147</v>
      </c>
      <c r="CL5" t="s">
        <v>147</v>
      </c>
      <c r="CM5" t="s">
        <v>147</v>
      </c>
      <c r="CN5" t="s">
        <v>147</v>
      </c>
      <c r="CO5" t="s">
        <v>147</v>
      </c>
      <c r="CP5" t="s">
        <v>147</v>
      </c>
      <c r="CQ5" t="s">
        <v>147</v>
      </c>
      <c r="CR5" t="s">
        <v>358</v>
      </c>
      <c r="CS5" t="s">
        <v>358</v>
      </c>
      <c r="CT5" t="s">
        <v>147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D71D-8AEE-42F0-BEA1-8969BB887259}">
  <dimension ref="A1:DB5"/>
  <sheetViews>
    <sheetView workbookViewId="0">
      <selection sqref="A1:DB5"/>
    </sheetView>
  </sheetViews>
  <sheetFormatPr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>
        <v>278.52</v>
      </c>
      <c r="I2">
        <v>4800</v>
      </c>
      <c r="J2" s="1">
        <v>1</v>
      </c>
      <c r="K2">
        <v>320</v>
      </c>
      <c r="L2">
        <v>640</v>
      </c>
      <c r="M2">
        <v>0.48</v>
      </c>
      <c r="N2">
        <v>1.3107963267948901</v>
      </c>
      <c r="O2">
        <v>0.26359877559829797</v>
      </c>
      <c r="P2">
        <v>0</v>
      </c>
      <c r="Q2">
        <v>0</v>
      </c>
      <c r="R2">
        <v>0</v>
      </c>
      <c r="S2">
        <v>0.1016</v>
      </c>
      <c r="T2">
        <v>0.11176</v>
      </c>
      <c r="U2">
        <v>0.13208</v>
      </c>
      <c r="V2">
        <v>64</v>
      </c>
      <c r="W2">
        <v>0.08</v>
      </c>
      <c r="X2">
        <v>800000</v>
      </c>
      <c r="Y2">
        <v>294.52</v>
      </c>
      <c r="Z2">
        <v>0.79200000000000004</v>
      </c>
      <c r="AA2">
        <v>0.32</v>
      </c>
      <c r="AB2">
        <v>40000</v>
      </c>
      <c r="AC2">
        <v>120</v>
      </c>
      <c r="AD2">
        <v>2.4</v>
      </c>
      <c r="AE2">
        <v>1.04E-2</v>
      </c>
      <c r="AF2">
        <v>4.8</v>
      </c>
      <c r="AG2">
        <v>3.5999999999999997E-2</v>
      </c>
      <c r="AM2">
        <v>4.8000000000000001E-2</v>
      </c>
      <c r="AN2">
        <v>2160</v>
      </c>
      <c r="AO2">
        <v>2</v>
      </c>
      <c r="AP2">
        <v>1650.4</v>
      </c>
      <c r="AQ2">
        <v>40000000000</v>
      </c>
      <c r="AR2">
        <v>0.24</v>
      </c>
      <c r="AS2" s="1">
        <v>7.8953864000000004E-11</v>
      </c>
      <c r="AT2">
        <v>218.51999999999899</v>
      </c>
      <c r="AU2">
        <v>80800</v>
      </c>
      <c r="AV2">
        <v>0.4</v>
      </c>
      <c r="AW2">
        <v>1.3107963267948901</v>
      </c>
      <c r="AX2">
        <v>-0.26</v>
      </c>
      <c r="AY2">
        <v>3.7266462599716398E-3</v>
      </c>
      <c r="AZ2">
        <v>0.6</v>
      </c>
      <c r="BA2">
        <v>8.0000000000000004E-4</v>
      </c>
      <c r="BB2">
        <v>8.0000000000000002E-3</v>
      </c>
      <c r="BC2">
        <v>5.0476587558415401E-2</v>
      </c>
      <c r="BD2">
        <v>0</v>
      </c>
      <c r="BE2">
        <v>0.16</v>
      </c>
      <c r="BF2">
        <v>0.64</v>
      </c>
      <c r="BG2">
        <v>0</v>
      </c>
      <c r="BH2">
        <v>0.48</v>
      </c>
      <c r="BI2">
        <v>1.6</v>
      </c>
      <c r="BJ2" s="1">
        <v>1.6000000000000001E-9</v>
      </c>
      <c r="BK2" s="1">
        <v>2.3199999999999999E-8</v>
      </c>
      <c r="BL2" s="1">
        <v>8.0000000000000002E-8</v>
      </c>
      <c r="BM2" s="1">
        <v>4.0000000000000003E-5</v>
      </c>
      <c r="BN2" s="1">
        <v>8.0000000000000007E-5</v>
      </c>
      <c r="BO2">
        <v>1.6000000000000001E-4</v>
      </c>
      <c r="BP2">
        <v>0.64</v>
      </c>
      <c r="BQ2">
        <v>0.72</v>
      </c>
      <c r="BR2">
        <v>0.8</v>
      </c>
      <c r="BS2" s="1">
        <v>1.6000000000000001E-9</v>
      </c>
      <c r="BT2" s="1">
        <v>2.3199999999999999E-8</v>
      </c>
      <c r="BU2" s="1">
        <v>8.0000000000000002E-8</v>
      </c>
      <c r="BV2" s="1">
        <v>7.8953863999999894E-12</v>
      </c>
      <c r="BW2" s="1">
        <v>7.89538639999999E-11</v>
      </c>
      <c r="BX2" s="1">
        <v>2.3686159199999999E-10</v>
      </c>
      <c r="BY2">
        <v>1.6</v>
      </c>
      <c r="BZ2">
        <v>1600</v>
      </c>
      <c r="CA2">
        <v>0.68</v>
      </c>
      <c r="CB2">
        <v>517534012.799999</v>
      </c>
      <c r="CC2">
        <v>2.4</v>
      </c>
      <c r="CD2">
        <v>772</v>
      </c>
      <c r="CE2">
        <v>1.6000000000000001E-4</v>
      </c>
      <c r="CF2">
        <v>12.8</v>
      </c>
      <c r="CG2">
        <v>6.4</v>
      </c>
      <c r="CH2">
        <v>3.2</v>
      </c>
      <c r="CI2">
        <v>0.117173047639603</v>
      </c>
      <c r="CJ2">
        <v>8</v>
      </c>
      <c r="CK2">
        <v>800</v>
      </c>
      <c r="CL2">
        <v>0.27925268031909201</v>
      </c>
      <c r="CM2">
        <v>0.48869219055841201</v>
      </c>
      <c r="CN2">
        <v>0.62831853071795796</v>
      </c>
      <c r="CO2">
        <v>800000</v>
      </c>
      <c r="CP2">
        <v>5600000</v>
      </c>
      <c r="CQ2">
        <v>12000000</v>
      </c>
      <c r="CR2">
        <v>80000</v>
      </c>
      <c r="CS2">
        <v>0.41887902047863901</v>
      </c>
      <c r="CT2">
        <v>1200000</v>
      </c>
    </row>
    <row r="3" spans="1:106" x14ac:dyDescent="0.25">
      <c r="A3" t="s">
        <v>363</v>
      </c>
      <c r="B3" t="s">
        <v>364</v>
      </c>
      <c r="C3" t="s">
        <v>365</v>
      </c>
      <c r="D3" s="1">
        <v>100</v>
      </c>
      <c r="E3" t="s">
        <v>357</v>
      </c>
      <c r="F3" t="s">
        <v>366</v>
      </c>
      <c r="G3" t="s">
        <v>367</v>
      </c>
      <c r="H3">
        <v>598.15</v>
      </c>
      <c r="I3">
        <v>6000</v>
      </c>
      <c r="J3">
        <v>4</v>
      </c>
      <c r="K3">
        <v>400</v>
      </c>
      <c r="L3">
        <v>800</v>
      </c>
      <c r="M3">
        <v>0.6</v>
      </c>
      <c r="N3">
        <v>1.5707963267948899</v>
      </c>
      <c r="O3">
        <v>0.52359877559829804</v>
      </c>
      <c r="P3">
        <v>0</v>
      </c>
      <c r="Q3">
        <v>0</v>
      </c>
      <c r="R3">
        <v>0</v>
      </c>
      <c r="S3">
        <v>0.127</v>
      </c>
      <c r="T3">
        <v>0.13969999999999999</v>
      </c>
      <c r="U3">
        <v>0.1651</v>
      </c>
      <c r="V3">
        <v>80</v>
      </c>
      <c r="W3">
        <v>0.1</v>
      </c>
      <c r="X3">
        <v>1000000</v>
      </c>
      <c r="Y3">
        <v>368.15</v>
      </c>
      <c r="Z3">
        <v>0.99</v>
      </c>
      <c r="AA3">
        <v>0.4</v>
      </c>
      <c r="AB3">
        <v>50000</v>
      </c>
      <c r="AC3">
        <v>525</v>
      </c>
      <c r="AD3">
        <v>3</v>
      </c>
      <c r="AE3">
        <v>1.2999999999999999E-2</v>
      </c>
      <c r="AF3">
        <v>6</v>
      </c>
      <c r="AG3">
        <v>4.4999999999999998E-2</v>
      </c>
      <c r="AH3">
        <v>1000</v>
      </c>
      <c r="AI3">
        <v>3.0000000000000001E-3</v>
      </c>
      <c r="AJ3" s="1">
        <v>41</v>
      </c>
      <c r="AK3">
        <v>100000</v>
      </c>
      <c r="AL3" s="1">
        <v>1</v>
      </c>
      <c r="AM3">
        <v>0.06</v>
      </c>
      <c r="AN3">
        <v>2700</v>
      </c>
      <c r="AO3">
        <v>2.5</v>
      </c>
      <c r="AP3">
        <v>2063</v>
      </c>
      <c r="AQ3">
        <v>50000000000</v>
      </c>
      <c r="AR3">
        <v>0.3</v>
      </c>
      <c r="AS3" s="1">
        <v>9.8692329999999998E-11</v>
      </c>
      <c r="AT3">
        <v>273.14999999999998</v>
      </c>
      <c r="AU3">
        <v>101000</v>
      </c>
      <c r="AV3">
        <v>0.5</v>
      </c>
      <c r="AW3">
        <v>1.5707963267948899</v>
      </c>
      <c r="AX3">
        <v>0</v>
      </c>
      <c r="AY3">
        <v>8.7266462599716408E-3</v>
      </c>
      <c r="AZ3">
        <v>0.75</v>
      </c>
      <c r="BA3">
        <v>1E-3</v>
      </c>
      <c r="BB3">
        <v>0.01</v>
      </c>
      <c r="BC3">
        <v>6.3095734448019303E-2</v>
      </c>
      <c r="BD3">
        <v>0</v>
      </c>
      <c r="BE3">
        <v>0.2</v>
      </c>
      <c r="BF3">
        <v>0.8</v>
      </c>
      <c r="BG3">
        <v>0</v>
      </c>
      <c r="BH3">
        <v>0.6</v>
      </c>
      <c r="BI3">
        <v>2</v>
      </c>
      <c r="BJ3" s="1">
        <v>2.0000000000000001E-9</v>
      </c>
      <c r="BK3" s="1">
        <v>2.9000000000000002E-8</v>
      </c>
      <c r="BL3" s="1">
        <v>9.9999999999999995E-8</v>
      </c>
      <c r="BM3" s="1">
        <v>5.0000000000000002E-5</v>
      </c>
      <c r="BN3">
        <v>1E-4</v>
      </c>
      <c r="BO3">
        <v>2.0000000000000001E-4</v>
      </c>
      <c r="BP3">
        <v>0.8</v>
      </c>
      <c r="BQ3">
        <v>0.9</v>
      </c>
      <c r="BR3">
        <v>1</v>
      </c>
      <c r="BS3" s="1">
        <v>2.0000000000000001E-9</v>
      </c>
      <c r="BT3" s="1">
        <v>2.9000000000000002E-8</v>
      </c>
      <c r="BU3" s="1">
        <v>9.9999999999999995E-8</v>
      </c>
      <c r="BV3" s="1">
        <v>9.8692329999999908E-12</v>
      </c>
      <c r="BW3" s="1">
        <v>9.8692329999999895E-11</v>
      </c>
      <c r="BX3" s="1">
        <v>2.9607698999999903E-10</v>
      </c>
      <c r="BY3">
        <v>2</v>
      </c>
      <c r="BZ3">
        <v>2000</v>
      </c>
      <c r="CA3">
        <v>0.85</v>
      </c>
      <c r="CB3">
        <v>646917515.99999905</v>
      </c>
      <c r="CC3">
        <v>3</v>
      </c>
      <c r="CD3">
        <v>965</v>
      </c>
      <c r="CE3">
        <v>2.0000000000000001E-4</v>
      </c>
      <c r="CF3">
        <v>16</v>
      </c>
      <c r="CG3">
        <v>8</v>
      </c>
      <c r="CH3">
        <v>4</v>
      </c>
      <c r="CI3">
        <v>0.122173047639603</v>
      </c>
      <c r="CJ3">
        <v>10</v>
      </c>
      <c r="CK3">
        <v>1000</v>
      </c>
      <c r="CL3">
        <v>0.34906585039886501</v>
      </c>
      <c r="CM3">
        <v>0.61086523819801497</v>
      </c>
      <c r="CN3">
        <v>0.78539816339744795</v>
      </c>
      <c r="CO3">
        <v>1000000</v>
      </c>
      <c r="CP3">
        <v>7000000</v>
      </c>
      <c r="CQ3">
        <v>15000000</v>
      </c>
      <c r="CR3">
        <v>100000</v>
      </c>
      <c r="CS3">
        <v>0.52359877559829804</v>
      </c>
      <c r="CT3">
        <v>1500000</v>
      </c>
      <c r="CU3">
        <v>0.13719999999999999</v>
      </c>
      <c r="CV3">
        <v>2763.06</v>
      </c>
      <c r="CW3">
        <v>590000</v>
      </c>
      <c r="CX3">
        <v>2025.65</v>
      </c>
      <c r="CY3">
        <v>2683.41</v>
      </c>
      <c r="CZ3">
        <v>3.6479999999999999E-2</v>
      </c>
      <c r="DA3">
        <v>2.0000000000000001E-4</v>
      </c>
      <c r="DB3">
        <v>5</v>
      </c>
    </row>
    <row r="4" spans="1:106" x14ac:dyDescent="0.25">
      <c r="H4">
        <v>917.78</v>
      </c>
      <c r="I4">
        <v>7200</v>
      </c>
      <c r="J4" s="1">
        <v>14</v>
      </c>
      <c r="K4">
        <v>480</v>
      </c>
      <c r="L4">
        <v>960</v>
      </c>
      <c r="M4">
        <v>0.72</v>
      </c>
      <c r="N4">
        <v>1.8307963267948899</v>
      </c>
      <c r="O4">
        <v>0.78359877559829805</v>
      </c>
      <c r="P4">
        <v>0</v>
      </c>
      <c r="Q4">
        <v>0</v>
      </c>
      <c r="R4">
        <v>0</v>
      </c>
      <c r="S4">
        <v>0.15240000000000001</v>
      </c>
      <c r="T4">
        <v>0.16763999999999901</v>
      </c>
      <c r="U4">
        <v>0.19811999999999999</v>
      </c>
      <c r="V4">
        <v>96</v>
      </c>
      <c r="W4">
        <v>0.12</v>
      </c>
      <c r="X4">
        <v>1200000</v>
      </c>
      <c r="Y4">
        <v>441.78</v>
      </c>
      <c r="Z4">
        <v>1.1879999999999999</v>
      </c>
      <c r="AA4">
        <v>0.48</v>
      </c>
      <c r="AB4">
        <v>60000</v>
      </c>
      <c r="AC4">
        <v>930</v>
      </c>
      <c r="AD4">
        <v>3.5999999999999899</v>
      </c>
      <c r="AE4">
        <v>1.5599999999999999E-2</v>
      </c>
      <c r="AF4">
        <v>7.1999999999999904</v>
      </c>
      <c r="AG4">
        <v>5.3999999999999999E-2</v>
      </c>
      <c r="AM4">
        <v>7.1999999999999995E-2</v>
      </c>
      <c r="AN4">
        <v>3240</v>
      </c>
      <c r="AO4">
        <v>3</v>
      </c>
      <c r="AP4">
        <v>2475.6</v>
      </c>
      <c r="AQ4">
        <v>60000000000</v>
      </c>
      <c r="AR4">
        <v>0.36</v>
      </c>
      <c r="AS4" s="1">
        <v>1.1843079599999999E-10</v>
      </c>
      <c r="AT4">
        <v>327.78</v>
      </c>
      <c r="AU4">
        <v>121200</v>
      </c>
      <c r="AV4">
        <v>0.6</v>
      </c>
      <c r="AW4">
        <v>1.8307963267948899</v>
      </c>
      <c r="AX4">
        <v>0.26</v>
      </c>
      <c r="AY4">
        <v>1.37266462599716E-2</v>
      </c>
      <c r="AZ4">
        <v>0.89999999999999902</v>
      </c>
      <c r="BA4">
        <v>1.1999999999999999E-3</v>
      </c>
      <c r="BB4">
        <v>1.2E-2</v>
      </c>
      <c r="BC4">
        <v>7.5714881337623094E-2</v>
      </c>
      <c r="BD4">
        <v>0</v>
      </c>
      <c r="BE4">
        <v>0.24</v>
      </c>
      <c r="BF4">
        <v>0.96</v>
      </c>
      <c r="BG4">
        <v>0</v>
      </c>
      <c r="BH4">
        <v>0.72</v>
      </c>
      <c r="BI4">
        <v>2.4</v>
      </c>
      <c r="BJ4" s="1">
        <v>2.4E-9</v>
      </c>
      <c r="BK4" s="1">
        <v>3.4800000000000001E-8</v>
      </c>
      <c r="BL4" s="1">
        <v>1.1999999999999999E-7</v>
      </c>
      <c r="BM4" s="1">
        <v>6.0000000000000002E-5</v>
      </c>
      <c r="BN4">
        <v>1.2E-4</v>
      </c>
      <c r="BO4">
        <v>2.4000000000000001E-4</v>
      </c>
      <c r="BP4">
        <v>0.96</v>
      </c>
      <c r="BQ4">
        <v>1.08</v>
      </c>
      <c r="BR4">
        <v>1.2</v>
      </c>
      <c r="BS4" s="1">
        <v>2.4E-9</v>
      </c>
      <c r="BT4" s="1">
        <v>3.4800000000000001E-8</v>
      </c>
      <c r="BU4" s="1">
        <v>1.1999999999999999E-7</v>
      </c>
      <c r="BV4" s="1">
        <v>1.18430795999999E-11</v>
      </c>
      <c r="BW4" s="1">
        <v>1.1843079599999901E-10</v>
      </c>
      <c r="BX4" s="1">
        <v>3.55292387999999E-10</v>
      </c>
      <c r="BY4">
        <v>2.4</v>
      </c>
      <c r="BZ4">
        <v>2400</v>
      </c>
      <c r="CA4">
        <v>1.02</v>
      </c>
      <c r="CB4">
        <v>776301019.19999897</v>
      </c>
      <c r="CC4">
        <v>3.5999999999999899</v>
      </c>
      <c r="CD4">
        <v>1158</v>
      </c>
      <c r="CE4">
        <v>2.4000000000000001E-4</v>
      </c>
      <c r="CF4">
        <v>19.2</v>
      </c>
      <c r="CG4">
        <v>9.6</v>
      </c>
      <c r="CH4">
        <v>4.8</v>
      </c>
      <c r="CI4">
        <v>0.12717304763960299</v>
      </c>
      <c r="CJ4">
        <v>12</v>
      </c>
      <c r="CK4">
        <v>1200</v>
      </c>
      <c r="CL4">
        <v>0.41887902047863901</v>
      </c>
      <c r="CM4">
        <v>0.73303828583761799</v>
      </c>
      <c r="CN4">
        <v>0.94247779607693705</v>
      </c>
      <c r="CO4">
        <v>1200000</v>
      </c>
      <c r="CP4">
        <v>8400000</v>
      </c>
      <c r="CQ4">
        <v>18000000</v>
      </c>
      <c r="CR4">
        <v>120000</v>
      </c>
      <c r="CS4">
        <v>0.62831853071795796</v>
      </c>
      <c r="CT4">
        <v>1800000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358</v>
      </c>
      <c r="K5" t="s">
        <v>358</v>
      </c>
      <c r="L5" t="s">
        <v>358</v>
      </c>
      <c r="M5" t="s">
        <v>358</v>
      </c>
      <c r="N5" t="s">
        <v>358</v>
      </c>
      <c r="O5" t="s">
        <v>358</v>
      </c>
      <c r="P5" t="s">
        <v>358</v>
      </c>
      <c r="Q5" t="s">
        <v>358</v>
      </c>
      <c r="R5" t="s">
        <v>358</v>
      </c>
      <c r="S5" t="s">
        <v>358</v>
      </c>
      <c r="T5" t="s">
        <v>358</v>
      </c>
      <c r="U5" t="s">
        <v>358</v>
      </c>
      <c r="V5" t="s">
        <v>358</v>
      </c>
      <c r="W5" t="s">
        <v>358</v>
      </c>
      <c r="X5" t="s">
        <v>358</v>
      </c>
      <c r="Y5" t="s">
        <v>358</v>
      </c>
      <c r="Z5" t="s">
        <v>358</v>
      </c>
      <c r="AA5" t="s">
        <v>358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358</v>
      </c>
      <c r="AU5" t="s">
        <v>358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358</v>
      </c>
      <c r="BB5" t="s">
        <v>358</v>
      </c>
      <c r="BC5" t="s">
        <v>358</v>
      </c>
      <c r="BD5" t="s">
        <v>358</v>
      </c>
      <c r="BE5" t="s">
        <v>358</v>
      </c>
      <c r="BF5" t="s">
        <v>358</v>
      </c>
      <c r="BG5" t="s">
        <v>358</v>
      </c>
      <c r="BH5" t="s">
        <v>358</v>
      </c>
      <c r="BI5" t="s">
        <v>358</v>
      </c>
      <c r="BJ5" t="s">
        <v>358</v>
      </c>
      <c r="BK5" t="s">
        <v>358</v>
      </c>
      <c r="BL5" t="s">
        <v>358</v>
      </c>
      <c r="BM5" t="s">
        <v>358</v>
      </c>
      <c r="BN5" t="s">
        <v>358</v>
      </c>
      <c r="BO5" t="s">
        <v>358</v>
      </c>
      <c r="BP5" t="s">
        <v>358</v>
      </c>
      <c r="BQ5" t="s">
        <v>358</v>
      </c>
      <c r="BR5" t="s">
        <v>358</v>
      </c>
      <c r="BS5" t="s">
        <v>358</v>
      </c>
      <c r="BT5" t="s">
        <v>358</v>
      </c>
      <c r="BU5" t="s">
        <v>358</v>
      </c>
      <c r="BV5" t="s">
        <v>358</v>
      </c>
      <c r="BW5" t="s">
        <v>358</v>
      </c>
      <c r="BX5" t="s">
        <v>358</v>
      </c>
      <c r="BY5" t="s">
        <v>358</v>
      </c>
      <c r="BZ5" t="s">
        <v>358</v>
      </c>
      <c r="CA5" t="s">
        <v>358</v>
      </c>
      <c r="CB5" t="s">
        <v>358</v>
      </c>
      <c r="CC5" t="s">
        <v>358</v>
      </c>
      <c r="CD5" t="s">
        <v>358</v>
      </c>
      <c r="CE5" t="s">
        <v>358</v>
      </c>
      <c r="CF5" t="s">
        <v>358</v>
      </c>
      <c r="CG5" t="s">
        <v>358</v>
      </c>
      <c r="CH5" t="s">
        <v>358</v>
      </c>
      <c r="CI5" t="s">
        <v>358</v>
      </c>
      <c r="CJ5" t="s">
        <v>358</v>
      </c>
      <c r="CK5" t="s">
        <v>358</v>
      </c>
      <c r="CL5" t="s">
        <v>358</v>
      </c>
      <c r="CM5" t="s">
        <v>358</v>
      </c>
      <c r="CN5" t="s">
        <v>358</v>
      </c>
      <c r="CO5" t="s">
        <v>358</v>
      </c>
      <c r="CP5" t="s">
        <v>358</v>
      </c>
      <c r="CQ5" t="s">
        <v>358</v>
      </c>
      <c r="CR5" t="s">
        <v>358</v>
      </c>
      <c r="CS5" t="s">
        <v>358</v>
      </c>
      <c r="CT5" t="s">
        <v>358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034A-5DEE-4967-95EC-172DBE22BE3A}">
  <dimension ref="A1:DB5"/>
  <sheetViews>
    <sheetView workbookViewId="0">
      <selection sqref="A1:DB5"/>
    </sheetView>
  </sheetViews>
  <sheetFormatPr defaultColWidth="10.7109375" defaultRowHeight="15" x14ac:dyDescent="0.25"/>
  <cols>
    <col min="1" max="106" width="20.7109375" customWidth="1"/>
  </cols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2">
        <v>0</v>
      </c>
      <c r="I2" s="2">
        <v>0</v>
      </c>
      <c r="J2" s="2">
        <v>0</v>
      </c>
      <c r="K2" s="2">
        <v>9.9999999999999995E-7</v>
      </c>
      <c r="L2" s="2">
        <v>9.9999999999999995E-7</v>
      </c>
      <c r="M2" s="2">
        <v>0.01</v>
      </c>
      <c r="N2" s="2">
        <v>0</v>
      </c>
      <c r="O2" s="2">
        <v>0</v>
      </c>
      <c r="P2" s="2">
        <v>0</v>
      </c>
      <c r="Q2" s="2">
        <v>-1.571</v>
      </c>
      <c r="R2" s="2">
        <v>-1.571</v>
      </c>
      <c r="S2" s="2">
        <v>0</v>
      </c>
      <c r="T2" s="2">
        <v>0</v>
      </c>
      <c r="U2" s="2">
        <v>0</v>
      </c>
      <c r="V2" s="2">
        <v>50</v>
      </c>
      <c r="W2" s="2">
        <v>0</v>
      </c>
      <c r="X2" s="2">
        <v>0</v>
      </c>
      <c r="Y2" s="2">
        <v>273.2</v>
      </c>
      <c r="Z2" s="2">
        <v>-10000000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1.0000000000000001E-9</v>
      </c>
      <c r="AJ2" s="2">
        <v>1</v>
      </c>
      <c r="AK2" s="2">
        <v>10000</v>
      </c>
      <c r="AL2" s="2">
        <v>1</v>
      </c>
      <c r="AM2" s="2">
        <v>0.01</v>
      </c>
      <c r="AN2" s="2">
        <v>1000</v>
      </c>
      <c r="AO2" s="2">
        <v>0.1</v>
      </c>
      <c r="AP2" s="2">
        <v>1000</v>
      </c>
      <c r="AQ2" s="2">
        <v>100000000</v>
      </c>
      <c r="AR2" s="2">
        <v>1E-3</v>
      </c>
      <c r="AS2" s="2">
        <v>9.9999999999999991E-22</v>
      </c>
      <c r="AT2" s="2">
        <v>200</v>
      </c>
      <c r="AU2" s="2">
        <v>50000</v>
      </c>
      <c r="AV2" s="2">
        <v>0.01</v>
      </c>
      <c r="AW2" s="2">
        <v>0</v>
      </c>
      <c r="AX2" s="2">
        <v>-1.571</v>
      </c>
      <c r="AY2" s="2">
        <v>0</v>
      </c>
      <c r="AZ2" s="2">
        <v>0.01</v>
      </c>
      <c r="BA2" s="2">
        <v>1E-4</v>
      </c>
      <c r="BB2" s="2">
        <v>1E-4</v>
      </c>
      <c r="BC2" s="2">
        <v>1E-4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1.0000000000000001E-9</v>
      </c>
      <c r="BK2" s="2">
        <v>1.0000000000000001E-9</v>
      </c>
      <c r="BL2" s="2">
        <v>1.0000000000000001E-9</v>
      </c>
      <c r="BM2" s="2">
        <v>1.0000000000000001E-5</v>
      </c>
      <c r="BN2" s="2">
        <v>1.0000000000000001E-5</v>
      </c>
      <c r="BO2" s="2">
        <v>1.0000000000000001E-5</v>
      </c>
      <c r="BP2" s="2">
        <v>0</v>
      </c>
      <c r="BQ2" s="2">
        <v>0</v>
      </c>
      <c r="BR2" s="2">
        <v>0</v>
      </c>
      <c r="BS2" s="2">
        <v>1.0000000000000001E-9</v>
      </c>
      <c r="BT2" s="2">
        <v>1.0000000000000001E-9</v>
      </c>
      <c r="BU2" s="2">
        <v>1.0000000000000001E-9</v>
      </c>
      <c r="BV2" s="2">
        <v>9.9999999999999991E-22</v>
      </c>
      <c r="BW2" s="2">
        <v>9.9999999999999991E-22</v>
      </c>
      <c r="BX2" s="2">
        <v>9.9999999999999991E-22</v>
      </c>
      <c r="BY2" s="2">
        <v>0.1</v>
      </c>
      <c r="BZ2" s="2">
        <v>1000</v>
      </c>
      <c r="CA2" s="2">
        <v>0</v>
      </c>
      <c r="CB2" s="2">
        <v>0</v>
      </c>
      <c r="CC2" s="2">
        <v>1</v>
      </c>
      <c r="CD2" s="2">
        <v>10</v>
      </c>
      <c r="CE2" s="2">
        <v>1.0000000000000001E-5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1</v>
      </c>
    </row>
    <row r="3" spans="1:106" x14ac:dyDescent="0.25">
      <c r="D3" s="1">
        <v>1</v>
      </c>
      <c r="E3" t="s">
        <v>357</v>
      </c>
      <c r="F3" t="s">
        <v>360</v>
      </c>
      <c r="G3" t="s">
        <v>361</v>
      </c>
      <c r="H3" s="2">
        <v>598.20000000000005</v>
      </c>
      <c r="I3" s="2">
        <v>6000</v>
      </c>
      <c r="J3" s="2">
        <v>4</v>
      </c>
      <c r="K3" s="2">
        <v>400</v>
      </c>
      <c r="L3" s="2">
        <v>800</v>
      </c>
      <c r="M3" s="2">
        <v>0.6</v>
      </c>
      <c r="N3" s="2">
        <v>1.571</v>
      </c>
      <c r="O3" s="2">
        <v>0.52359999999999995</v>
      </c>
      <c r="P3" s="2">
        <v>0</v>
      </c>
      <c r="Q3" s="2">
        <v>0</v>
      </c>
      <c r="R3" s="2">
        <v>0</v>
      </c>
      <c r="S3" s="2">
        <v>0.127</v>
      </c>
      <c r="T3" s="2">
        <v>0.13969999999999999</v>
      </c>
      <c r="U3" s="2">
        <v>0.1651</v>
      </c>
      <c r="V3" s="2">
        <v>80</v>
      </c>
      <c r="W3" s="2">
        <v>0.1</v>
      </c>
      <c r="X3" s="2">
        <v>1000000</v>
      </c>
      <c r="Y3" s="2">
        <v>368.2</v>
      </c>
      <c r="Z3" s="2">
        <v>0.99</v>
      </c>
      <c r="AA3" s="2">
        <v>0.4</v>
      </c>
      <c r="AB3" s="2">
        <v>50000</v>
      </c>
      <c r="AC3" s="2">
        <v>525</v>
      </c>
      <c r="AD3" s="2">
        <v>3</v>
      </c>
      <c r="AE3" s="2">
        <v>1.2999999999999999E-2</v>
      </c>
      <c r="AF3" s="2">
        <v>6</v>
      </c>
      <c r="AG3" s="2">
        <v>4.4999999999999998E-2</v>
      </c>
      <c r="AH3" s="2">
        <v>1000</v>
      </c>
      <c r="AI3" s="2">
        <v>3.0000000000000001E-3</v>
      </c>
      <c r="AJ3" s="2">
        <v>41</v>
      </c>
      <c r="AK3" s="2">
        <v>100000</v>
      </c>
      <c r="AL3" s="2">
        <v>1</v>
      </c>
      <c r="AM3" s="2">
        <v>0.06</v>
      </c>
      <c r="AN3" s="2">
        <v>2700</v>
      </c>
      <c r="AO3" s="2">
        <v>2.5</v>
      </c>
      <c r="AP3" s="2">
        <v>2063</v>
      </c>
      <c r="AQ3" s="2">
        <v>50000000000</v>
      </c>
      <c r="AR3" s="2">
        <v>0.3</v>
      </c>
      <c r="AS3" s="2">
        <v>9.8689999999999997E-11</v>
      </c>
      <c r="AT3" s="2">
        <v>273.2</v>
      </c>
      <c r="AU3" s="2">
        <v>101000</v>
      </c>
      <c r="AV3" s="2">
        <v>0.5</v>
      </c>
      <c r="AW3" s="2">
        <v>1.571</v>
      </c>
      <c r="AX3" s="2">
        <v>0</v>
      </c>
      <c r="AY3" s="2">
        <v>8.7270000000000004E-3</v>
      </c>
      <c r="AZ3" s="2">
        <v>0.75</v>
      </c>
      <c r="BA3" s="2">
        <v>1E-3</v>
      </c>
      <c r="BB3" s="2">
        <v>0.01</v>
      </c>
      <c r="BC3" s="2">
        <v>6.3100000000000003E-2</v>
      </c>
      <c r="BD3" s="2">
        <v>0</v>
      </c>
      <c r="BE3" s="2">
        <v>0.2</v>
      </c>
      <c r="BF3" s="2">
        <v>0.8</v>
      </c>
      <c r="BG3" s="2">
        <v>0</v>
      </c>
      <c r="BH3" s="2">
        <v>0.6</v>
      </c>
      <c r="BI3" s="2">
        <v>2</v>
      </c>
      <c r="BJ3" s="2">
        <v>2.0000000000000001E-9</v>
      </c>
      <c r="BK3" s="2">
        <v>2.9000000000000002E-8</v>
      </c>
      <c r="BL3" s="2">
        <v>9.9999999999999995E-8</v>
      </c>
      <c r="BM3" s="2">
        <v>5.0000000000000002E-5</v>
      </c>
      <c r="BN3" s="2">
        <v>1E-4</v>
      </c>
      <c r="BO3" s="2">
        <v>2.0000000000000001E-4</v>
      </c>
      <c r="BP3" s="2">
        <v>0.8</v>
      </c>
      <c r="BQ3" s="2">
        <v>0.9</v>
      </c>
      <c r="BR3" s="2">
        <v>1</v>
      </c>
      <c r="BS3" s="2">
        <v>2.0000000000000001E-9</v>
      </c>
      <c r="BT3" s="2">
        <v>2.9000000000000002E-8</v>
      </c>
      <c r="BU3" s="2">
        <v>9.9999999999999995E-8</v>
      </c>
      <c r="BV3" s="2">
        <v>9.8690000000000001E-12</v>
      </c>
      <c r="BW3" s="2">
        <v>9.8689999999999997E-11</v>
      </c>
      <c r="BX3" s="2">
        <v>2.9609999999999999E-10</v>
      </c>
      <c r="BY3" s="2">
        <v>2</v>
      </c>
      <c r="BZ3" s="2">
        <v>2000</v>
      </c>
      <c r="CA3" s="2">
        <v>0.85</v>
      </c>
      <c r="CB3" s="2">
        <v>646900000</v>
      </c>
      <c r="CC3" s="2">
        <v>3</v>
      </c>
      <c r="CD3" s="2">
        <v>965</v>
      </c>
      <c r="CE3" s="2">
        <v>2.0000000000000001E-4</v>
      </c>
      <c r="CF3" s="2">
        <v>16</v>
      </c>
      <c r="CG3" s="2">
        <v>8</v>
      </c>
      <c r="CH3" s="2">
        <v>4</v>
      </c>
      <c r="CI3" s="2">
        <v>0.1222</v>
      </c>
      <c r="CJ3" s="2">
        <v>10</v>
      </c>
      <c r="CK3" s="2">
        <v>1000</v>
      </c>
      <c r="CL3" s="2">
        <v>0.34910000000000002</v>
      </c>
      <c r="CM3" s="2">
        <v>0.6109</v>
      </c>
      <c r="CN3" s="2">
        <v>0.78539999999999999</v>
      </c>
      <c r="CO3" s="2">
        <v>1000000</v>
      </c>
      <c r="CP3" s="2">
        <v>7000000</v>
      </c>
      <c r="CQ3" s="2">
        <v>15000000</v>
      </c>
      <c r="CR3" s="2">
        <v>100000</v>
      </c>
      <c r="CS3" s="2">
        <v>0.52359999999999995</v>
      </c>
      <c r="CT3" s="2">
        <v>1500000</v>
      </c>
      <c r="CU3" s="2">
        <v>0.13719999999999999</v>
      </c>
      <c r="CV3" s="2">
        <v>2763</v>
      </c>
      <c r="CW3" s="2">
        <v>590000</v>
      </c>
      <c r="CX3" s="2">
        <v>2026</v>
      </c>
      <c r="CY3" s="2">
        <v>2683</v>
      </c>
      <c r="CZ3" s="2">
        <v>3.6479999999999999E-2</v>
      </c>
      <c r="DA3" s="2">
        <v>2.0000000000000001E-4</v>
      </c>
      <c r="DB3" s="2">
        <v>5</v>
      </c>
    </row>
    <row r="4" spans="1:106" x14ac:dyDescent="0.25">
      <c r="H4" s="2">
        <v>1400</v>
      </c>
      <c r="I4" s="2">
        <v>10000</v>
      </c>
      <c r="J4" s="2">
        <v>100</v>
      </c>
      <c r="K4" s="2">
        <v>1000</v>
      </c>
      <c r="L4" s="2">
        <v>10000</v>
      </c>
      <c r="M4" s="2">
        <v>10</v>
      </c>
      <c r="N4" s="2">
        <v>6.2830000000000004</v>
      </c>
      <c r="O4" s="2">
        <v>1.571</v>
      </c>
      <c r="P4" s="2">
        <v>6.2830000000000004</v>
      </c>
      <c r="Q4" s="2">
        <v>1.571</v>
      </c>
      <c r="R4" s="2">
        <v>1.571</v>
      </c>
      <c r="S4" s="2">
        <v>1</v>
      </c>
      <c r="T4" s="2">
        <v>1</v>
      </c>
      <c r="U4" s="2">
        <v>1</v>
      </c>
      <c r="V4" s="2">
        <v>150</v>
      </c>
      <c r="W4" s="2">
        <v>10</v>
      </c>
      <c r="X4" s="2">
        <v>100000000</v>
      </c>
      <c r="Y4" s="2">
        <v>1000</v>
      </c>
      <c r="Z4" s="2">
        <v>10000000</v>
      </c>
      <c r="AA4" s="2">
        <v>10</v>
      </c>
      <c r="AB4" s="2">
        <v>1000000000</v>
      </c>
      <c r="AC4" s="2">
        <v>10000</v>
      </c>
      <c r="AD4" s="2">
        <v>200</v>
      </c>
      <c r="AE4" s="2">
        <v>0.1</v>
      </c>
      <c r="AF4" s="2">
        <v>100</v>
      </c>
      <c r="AG4" s="2">
        <v>0.5</v>
      </c>
      <c r="AH4" s="2">
        <v>10000</v>
      </c>
      <c r="AI4" s="2">
        <v>0.1</v>
      </c>
      <c r="AJ4" s="2">
        <v>10000</v>
      </c>
      <c r="AK4" s="2">
        <v>1000000</v>
      </c>
      <c r="AL4" s="2">
        <v>10</v>
      </c>
      <c r="AM4" s="2">
        <v>0.4</v>
      </c>
      <c r="AN4" s="2">
        <v>3500</v>
      </c>
      <c r="AO4" s="2">
        <v>10</v>
      </c>
      <c r="AP4" s="2">
        <v>4000</v>
      </c>
      <c r="AQ4" s="2">
        <v>100000000000</v>
      </c>
      <c r="AR4" s="2">
        <v>0.499</v>
      </c>
      <c r="AS4" s="2">
        <v>1.0000000000000001E-9</v>
      </c>
      <c r="AT4" s="2">
        <v>350</v>
      </c>
      <c r="AU4" s="2">
        <v>200000</v>
      </c>
      <c r="AV4" s="2">
        <v>3</v>
      </c>
      <c r="AW4" s="2">
        <v>6.2830000000000004</v>
      </c>
      <c r="AX4" s="2">
        <v>1.571</v>
      </c>
      <c r="AY4" s="2">
        <v>0.26179999999999998</v>
      </c>
      <c r="AZ4" s="2">
        <v>4</v>
      </c>
      <c r="BA4" s="2">
        <v>0.1</v>
      </c>
      <c r="BB4" s="2">
        <v>0.1</v>
      </c>
      <c r="BC4" s="2">
        <v>0.1</v>
      </c>
      <c r="BD4" s="2">
        <v>1</v>
      </c>
      <c r="BE4" s="2">
        <v>1</v>
      </c>
      <c r="BF4" s="2">
        <v>1</v>
      </c>
      <c r="BG4" s="2">
        <v>3</v>
      </c>
      <c r="BH4" s="2">
        <v>3</v>
      </c>
      <c r="BI4" s="2">
        <v>3</v>
      </c>
      <c r="BJ4" s="2">
        <v>1.9999999999999999E-7</v>
      </c>
      <c r="BK4" s="2">
        <v>1.9999999999999999E-7</v>
      </c>
      <c r="BL4" s="2">
        <v>1.9999999999999999E-7</v>
      </c>
      <c r="BM4" s="2">
        <v>1E-3</v>
      </c>
      <c r="BN4" s="2">
        <v>1E-3</v>
      </c>
      <c r="BO4" s="2">
        <v>1E-3</v>
      </c>
      <c r="BP4" s="2">
        <v>2</v>
      </c>
      <c r="BQ4" s="2">
        <v>2</v>
      </c>
      <c r="BR4" s="2">
        <v>2</v>
      </c>
      <c r="BS4" s="2">
        <v>1.9999999999999999E-7</v>
      </c>
      <c r="BT4" s="2">
        <v>1.9999999999999999E-7</v>
      </c>
      <c r="BU4" s="2">
        <v>1.9999999999999999E-7</v>
      </c>
      <c r="BV4" s="2">
        <v>1.0000000000000001E-9</v>
      </c>
      <c r="BW4" s="2">
        <v>1.0000000000000001E-9</v>
      </c>
      <c r="BX4" s="2">
        <v>1.0000000000000001E-9</v>
      </c>
      <c r="BY4" s="2">
        <v>10</v>
      </c>
      <c r="BZ4" s="2">
        <v>3000</v>
      </c>
      <c r="CA4" s="2">
        <v>1.1000000000000001</v>
      </c>
      <c r="CB4" s="2">
        <v>10000000000</v>
      </c>
      <c r="CC4" s="2">
        <v>10</v>
      </c>
      <c r="CD4" s="2">
        <v>1200</v>
      </c>
      <c r="CE4" s="2">
        <v>1</v>
      </c>
      <c r="CF4" s="2">
        <v>200</v>
      </c>
      <c r="CG4" s="2">
        <v>200</v>
      </c>
      <c r="CH4" s="2">
        <v>200</v>
      </c>
      <c r="CI4" s="2">
        <v>1.571</v>
      </c>
      <c r="CJ4" s="2">
        <v>10000000</v>
      </c>
      <c r="CK4" s="2">
        <v>10000000</v>
      </c>
      <c r="CL4" s="2">
        <v>1.571</v>
      </c>
      <c r="CM4" s="2">
        <v>1.571</v>
      </c>
      <c r="CN4" s="2">
        <v>1.571</v>
      </c>
      <c r="CO4" s="2">
        <v>200000000</v>
      </c>
      <c r="CP4" s="2">
        <v>200000000</v>
      </c>
      <c r="CQ4" s="2">
        <v>200000000</v>
      </c>
      <c r="CR4" s="2">
        <v>200000000</v>
      </c>
      <c r="CS4" s="2">
        <v>1.571</v>
      </c>
      <c r="CT4" s="2">
        <v>10000000</v>
      </c>
      <c r="CU4" s="2">
        <v>1</v>
      </c>
      <c r="CV4" s="2">
        <v>10000</v>
      </c>
      <c r="CW4" s="2">
        <v>10000000</v>
      </c>
      <c r="CX4" s="2">
        <v>10000</v>
      </c>
      <c r="CY4" s="2">
        <v>10000</v>
      </c>
      <c r="CZ4" s="2">
        <v>1</v>
      </c>
      <c r="DA4" s="2">
        <v>1E-3</v>
      </c>
      <c r="DB4" s="2">
        <v>10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358</v>
      </c>
      <c r="K5" t="s">
        <v>358</v>
      </c>
      <c r="L5" t="s">
        <v>358</v>
      </c>
      <c r="M5" t="s">
        <v>358</v>
      </c>
      <c r="N5" t="s">
        <v>358</v>
      </c>
      <c r="O5" t="s">
        <v>358</v>
      </c>
      <c r="P5" t="s">
        <v>358</v>
      </c>
      <c r="Q5" t="s">
        <v>358</v>
      </c>
      <c r="R5" t="s">
        <v>358</v>
      </c>
      <c r="S5" t="s">
        <v>358</v>
      </c>
      <c r="T5" t="s">
        <v>358</v>
      </c>
      <c r="U5" t="s">
        <v>358</v>
      </c>
      <c r="V5" t="s">
        <v>358</v>
      </c>
      <c r="W5" t="s">
        <v>359</v>
      </c>
      <c r="X5" t="s">
        <v>358</v>
      </c>
      <c r="Y5" t="s">
        <v>358</v>
      </c>
      <c r="Z5" t="s">
        <v>358</v>
      </c>
      <c r="AA5" t="s">
        <v>359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358</v>
      </c>
      <c r="AI5" t="s">
        <v>358</v>
      </c>
      <c r="AJ5" t="s">
        <v>358</v>
      </c>
      <c r="AK5" t="s">
        <v>358</v>
      </c>
      <c r="AL5" t="s">
        <v>358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358</v>
      </c>
      <c r="AU5" t="s">
        <v>358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358</v>
      </c>
      <c r="BB5" t="s">
        <v>358</v>
      </c>
      <c r="BC5" t="s">
        <v>358</v>
      </c>
      <c r="BD5" t="s">
        <v>358</v>
      </c>
      <c r="BE5" t="s">
        <v>358</v>
      </c>
      <c r="BF5" t="s">
        <v>358</v>
      </c>
      <c r="BG5" t="s">
        <v>358</v>
      </c>
      <c r="BH5" t="s">
        <v>358</v>
      </c>
      <c r="BI5" t="s">
        <v>358</v>
      </c>
      <c r="BJ5" t="s">
        <v>358</v>
      </c>
      <c r="BK5" t="s">
        <v>358</v>
      </c>
      <c r="BL5" t="s">
        <v>358</v>
      </c>
      <c r="BM5" t="s">
        <v>358</v>
      </c>
      <c r="BN5" t="s">
        <v>358</v>
      </c>
      <c r="BO5" t="s">
        <v>358</v>
      </c>
      <c r="BP5" t="s">
        <v>358</v>
      </c>
      <c r="BQ5" t="s">
        <v>358</v>
      </c>
      <c r="BR5" t="s">
        <v>358</v>
      </c>
      <c r="BS5" t="s">
        <v>358</v>
      </c>
      <c r="BT5" t="s">
        <v>358</v>
      </c>
      <c r="BU5" t="s">
        <v>358</v>
      </c>
      <c r="BV5" t="s">
        <v>358</v>
      </c>
      <c r="BW5" t="s">
        <v>358</v>
      </c>
      <c r="BX5" t="s">
        <v>358</v>
      </c>
      <c r="BY5" t="s">
        <v>358</v>
      </c>
      <c r="BZ5" t="s">
        <v>358</v>
      </c>
      <c r="CA5" t="s">
        <v>358</v>
      </c>
      <c r="CB5" t="s">
        <v>358</v>
      </c>
      <c r="CC5" t="s">
        <v>358</v>
      </c>
      <c r="CD5" t="s">
        <v>358</v>
      </c>
      <c r="CE5" t="s">
        <v>358</v>
      </c>
      <c r="CF5" t="s">
        <v>358</v>
      </c>
      <c r="CG5" t="s">
        <v>358</v>
      </c>
      <c r="CH5" t="s">
        <v>358</v>
      </c>
      <c r="CI5" t="s">
        <v>358</v>
      </c>
      <c r="CJ5" t="s">
        <v>358</v>
      </c>
      <c r="CK5" t="s">
        <v>358</v>
      </c>
      <c r="CL5" t="s">
        <v>358</v>
      </c>
      <c r="CM5" t="s">
        <v>358</v>
      </c>
      <c r="CN5" t="s">
        <v>358</v>
      </c>
      <c r="CO5" t="s">
        <v>358</v>
      </c>
      <c r="CP5" t="s">
        <v>358</v>
      </c>
      <c r="CQ5" t="s">
        <v>358</v>
      </c>
      <c r="CR5" t="s">
        <v>358</v>
      </c>
      <c r="CS5" t="s">
        <v>358</v>
      </c>
      <c r="CT5" t="s">
        <v>358</v>
      </c>
      <c r="CU5" t="s">
        <v>358</v>
      </c>
      <c r="CV5" t="s">
        <v>358</v>
      </c>
      <c r="CW5" t="s">
        <v>358</v>
      </c>
      <c r="CX5" t="s">
        <v>358</v>
      </c>
      <c r="CY5" t="s">
        <v>358</v>
      </c>
      <c r="CZ5" t="s">
        <v>358</v>
      </c>
      <c r="DA5" t="s">
        <v>358</v>
      </c>
      <c r="DB5" t="s">
        <v>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CD1-5312-4C9C-A22A-39F98B03936E}">
  <dimension ref="A1:DB8"/>
  <sheetViews>
    <sheetView workbookViewId="0">
      <selection activeCell="E21" sqref="E21"/>
    </sheetView>
  </sheetViews>
  <sheetFormatPr defaultColWidth="20.7109375"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2">
        <v>0</v>
      </c>
      <c r="I2" s="2">
        <v>2348</v>
      </c>
      <c r="J2" s="2">
        <v>0</v>
      </c>
      <c r="K2" s="2">
        <v>89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0.01</v>
      </c>
      <c r="X2" s="2">
        <v>690000</v>
      </c>
      <c r="Y2" s="2">
        <v>333.15</v>
      </c>
      <c r="Z2" s="2">
        <v>-1000000</v>
      </c>
      <c r="AA2" s="2">
        <v>1E-3</v>
      </c>
      <c r="AB2" s="2">
        <v>10</v>
      </c>
      <c r="AC2" s="2">
        <v>100</v>
      </c>
      <c r="AD2" s="2">
        <v>1</v>
      </c>
      <c r="AE2" s="2">
        <v>0.01</v>
      </c>
      <c r="AF2" s="2">
        <v>4</v>
      </c>
      <c r="AG2" s="2">
        <v>0.03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8.3099999999999993E-2</v>
      </c>
      <c r="AN2" s="2">
        <v>2550</v>
      </c>
      <c r="AO2" s="2">
        <v>2.27</v>
      </c>
      <c r="AP2" s="2">
        <v>1900</v>
      </c>
      <c r="AQ2" s="2">
        <v>55000000000</v>
      </c>
      <c r="AR2" s="2">
        <v>0.26</v>
      </c>
      <c r="AS2" s="2">
        <v>9.8600000000000004E-12</v>
      </c>
      <c r="AT2" s="2">
        <v>273.14999999999998</v>
      </c>
      <c r="AU2" s="2">
        <v>0</v>
      </c>
      <c r="AV2" s="2">
        <v>0.216</v>
      </c>
      <c r="AW2" s="2">
        <v>1.55</v>
      </c>
      <c r="AX2" s="2">
        <v>-0.17</v>
      </c>
      <c r="AY2" s="2">
        <v>3.7266460000000001E-3</v>
      </c>
      <c r="AZ2" s="2">
        <v>0.65</v>
      </c>
      <c r="BA2" s="2">
        <v>8.0000000000000004E-4</v>
      </c>
      <c r="BB2" s="2">
        <v>8.0000000000000002E-3</v>
      </c>
      <c r="BC2" s="2">
        <v>5.0476588000000003E-2</v>
      </c>
      <c r="BD2" s="2">
        <v>0</v>
      </c>
      <c r="BE2" s="2">
        <v>0.15</v>
      </c>
      <c r="BF2" s="2">
        <v>0.7</v>
      </c>
      <c r="BG2" s="2">
        <v>0</v>
      </c>
      <c r="BH2" s="2">
        <v>0.4</v>
      </c>
      <c r="BI2" s="2">
        <v>1</v>
      </c>
      <c r="BJ2" s="2">
        <v>1.6000000000000001E-9</v>
      </c>
      <c r="BK2" s="2">
        <v>2.3199999999999999E-8</v>
      </c>
      <c r="BL2" s="2">
        <v>8.0000000000000002E-8</v>
      </c>
      <c r="BM2" s="2">
        <v>4.0000000000000003E-5</v>
      </c>
      <c r="BN2" s="2">
        <v>8.0000000000000007E-5</v>
      </c>
      <c r="BO2" s="2">
        <v>1.6000000000000001E-4</v>
      </c>
      <c r="BP2" s="2">
        <v>0.1</v>
      </c>
      <c r="BQ2" s="2">
        <v>0.15</v>
      </c>
      <c r="BR2" s="2">
        <v>0.8</v>
      </c>
      <c r="BS2" s="2">
        <v>1.6000000000000001E-9</v>
      </c>
      <c r="BT2" s="2">
        <v>2.3199999999999999E-8</v>
      </c>
      <c r="BU2" s="2">
        <v>8.0000000000000002E-8</v>
      </c>
      <c r="BV2" s="2">
        <v>9.9999999999999998E-13</v>
      </c>
      <c r="BW2" s="2">
        <v>9.9999999999999994E-12</v>
      </c>
      <c r="BX2" s="2">
        <v>1E-10</v>
      </c>
      <c r="BY2" s="2">
        <v>1.6</v>
      </c>
      <c r="BZ2" s="2">
        <v>1600</v>
      </c>
      <c r="CA2" s="2">
        <v>0</v>
      </c>
      <c r="CB2" s="2">
        <v>0</v>
      </c>
      <c r="CC2" s="2">
        <v>2.4</v>
      </c>
      <c r="CD2" s="2">
        <v>0</v>
      </c>
      <c r="CE2" s="2">
        <v>0</v>
      </c>
      <c r="CF2" s="2">
        <v>10</v>
      </c>
      <c r="CG2" s="2">
        <v>7</v>
      </c>
      <c r="CH2" s="2">
        <v>3</v>
      </c>
      <c r="CI2" s="2">
        <v>0.117173048</v>
      </c>
      <c r="CJ2" s="2">
        <v>0</v>
      </c>
      <c r="CK2" s="2">
        <v>0</v>
      </c>
      <c r="CL2" s="2">
        <v>0.27925267999999998</v>
      </c>
      <c r="CM2" s="2">
        <v>0.488692191</v>
      </c>
      <c r="CN2" s="2">
        <v>0.69813170099999999</v>
      </c>
      <c r="CO2" s="2">
        <v>800000</v>
      </c>
      <c r="CP2" s="2">
        <v>5600000</v>
      </c>
      <c r="CQ2" s="2">
        <v>12000000</v>
      </c>
      <c r="CR2" s="2">
        <v>100000</v>
      </c>
      <c r="CS2" s="2">
        <v>0.52</v>
      </c>
      <c r="CT2" s="2">
        <v>1200000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</row>
    <row r="3" spans="1:106" x14ac:dyDescent="0.25">
      <c r="B3" t="s">
        <v>364</v>
      </c>
      <c r="C3" t="s">
        <v>364</v>
      </c>
      <c r="D3" s="1">
        <v>2000</v>
      </c>
      <c r="E3" t="s">
        <v>362</v>
      </c>
      <c r="F3" t="s">
        <v>360</v>
      </c>
      <c r="G3" t="s">
        <v>368</v>
      </c>
      <c r="H3" s="2">
        <v>300</v>
      </c>
      <c r="I3" s="2">
        <v>2348.4</v>
      </c>
      <c r="J3" s="2">
        <v>1</v>
      </c>
      <c r="K3" s="2">
        <v>91</v>
      </c>
      <c r="L3" s="2">
        <v>1210</v>
      </c>
      <c r="M3" s="2">
        <v>0.9</v>
      </c>
      <c r="N3" s="2">
        <v>1.8320000000000001</v>
      </c>
      <c r="O3" s="2">
        <v>0.436</v>
      </c>
      <c r="P3" s="2">
        <v>4.7119999999999997</v>
      </c>
      <c r="Q3" s="2">
        <v>0</v>
      </c>
      <c r="R3" s="2">
        <v>0</v>
      </c>
      <c r="S3" s="2">
        <v>8.8900000000000007E-2</v>
      </c>
      <c r="T3" s="2">
        <v>0.1016</v>
      </c>
      <c r="U3" s="2">
        <v>0.114</v>
      </c>
      <c r="V3" s="2">
        <v>80</v>
      </c>
      <c r="W3" s="2">
        <v>0.01</v>
      </c>
      <c r="X3" s="2">
        <v>1370000</v>
      </c>
      <c r="Y3" s="2">
        <v>343.15</v>
      </c>
      <c r="Z3" s="2">
        <v>-500000</v>
      </c>
      <c r="AA3" s="2">
        <v>1.9E-2</v>
      </c>
      <c r="AB3" s="2">
        <v>1200</v>
      </c>
      <c r="AC3" s="2">
        <v>200</v>
      </c>
      <c r="AD3" s="2">
        <v>6</v>
      </c>
      <c r="AE3" s="2">
        <v>1.2607772999999999E-2</v>
      </c>
      <c r="AF3" s="2">
        <v>5</v>
      </c>
      <c r="AG3" s="2">
        <v>0.04</v>
      </c>
      <c r="AH3" s="2">
        <v>1000</v>
      </c>
      <c r="AI3" s="2">
        <v>3.0000000000000001E-3</v>
      </c>
      <c r="AJ3" s="2">
        <v>30</v>
      </c>
      <c r="AK3" s="2">
        <v>100000</v>
      </c>
      <c r="AL3" s="2">
        <v>1</v>
      </c>
      <c r="AM3" s="2">
        <v>8.5000000000000006E-2</v>
      </c>
      <c r="AN3" s="2">
        <v>2750</v>
      </c>
      <c r="AO3" s="2">
        <v>2.500538862</v>
      </c>
      <c r="AP3" s="2">
        <v>2160.270082</v>
      </c>
      <c r="AQ3" s="2">
        <v>55264500000</v>
      </c>
      <c r="AR3" s="2">
        <v>0.27537041600000001</v>
      </c>
      <c r="AS3" s="2">
        <v>1.56E-10</v>
      </c>
      <c r="AT3" s="2">
        <v>283.14999999999998</v>
      </c>
      <c r="AU3" s="2">
        <v>101000</v>
      </c>
      <c r="AV3" s="2">
        <v>0.45</v>
      </c>
      <c r="AW3" s="2">
        <v>1.81</v>
      </c>
      <c r="AX3" s="2">
        <v>0</v>
      </c>
      <c r="AY3" s="2">
        <v>4.2159110000000001E-3</v>
      </c>
      <c r="AZ3" s="2">
        <v>0.75</v>
      </c>
      <c r="BA3" s="2">
        <v>1E-3</v>
      </c>
      <c r="BB3" s="2">
        <v>0.01</v>
      </c>
      <c r="BC3" s="2">
        <v>6.3E-2</v>
      </c>
      <c r="BD3" s="2">
        <v>5.3999999999999999E-2</v>
      </c>
      <c r="BE3" s="2">
        <v>9.9000000000000005E-2</v>
      </c>
      <c r="BF3" s="2">
        <v>0.13400000000000001</v>
      </c>
      <c r="BG3" s="2">
        <v>0</v>
      </c>
      <c r="BH3" s="2">
        <v>0.6</v>
      </c>
      <c r="BI3" s="2">
        <v>2</v>
      </c>
      <c r="BJ3" s="2">
        <v>2.4999999999999999E-8</v>
      </c>
      <c r="BK3" s="2">
        <v>2.85E-8</v>
      </c>
      <c r="BL3" s="2">
        <v>3.2000000000000002E-8</v>
      </c>
      <c r="BM3" s="2">
        <v>5.0000000000000002E-5</v>
      </c>
      <c r="BN3" s="2">
        <v>9.0000000000000006E-5</v>
      </c>
      <c r="BO3" s="2">
        <v>1.4999999999999999E-4</v>
      </c>
      <c r="BP3" s="2">
        <v>0.25</v>
      </c>
      <c r="BQ3" s="2">
        <v>0.5</v>
      </c>
      <c r="BR3" s="2">
        <v>0.95</v>
      </c>
      <c r="BS3" s="2">
        <v>2.0000000000000001E-9</v>
      </c>
      <c r="BT3" s="2">
        <v>2.8999999999999999E-9</v>
      </c>
      <c r="BU3" s="2">
        <v>9.9999999999999995E-8</v>
      </c>
      <c r="BV3" s="2">
        <v>2E-12</v>
      </c>
      <c r="BW3" s="2">
        <v>1E-10</v>
      </c>
      <c r="BX3" s="2">
        <v>2.0000000000000001E-10</v>
      </c>
      <c r="BY3" s="2">
        <v>2.310157931</v>
      </c>
      <c r="BZ3" s="2">
        <v>2041.745017</v>
      </c>
      <c r="CA3" s="2">
        <v>0.85</v>
      </c>
      <c r="CB3" s="2">
        <v>946100000</v>
      </c>
      <c r="CC3" s="2">
        <v>2.9609222129999999</v>
      </c>
      <c r="CD3" s="2">
        <v>965</v>
      </c>
      <c r="CE3" s="2">
        <v>2.0000000000000001E-4</v>
      </c>
      <c r="CF3" s="2">
        <v>45</v>
      </c>
      <c r="CG3" s="2">
        <v>26</v>
      </c>
      <c r="CH3" s="2">
        <v>11</v>
      </c>
      <c r="CI3" s="2">
        <v>0.124006531</v>
      </c>
      <c r="CJ3" s="2">
        <v>150</v>
      </c>
      <c r="CK3" s="2">
        <v>1000</v>
      </c>
      <c r="CL3" s="2">
        <v>0.56000000000000005</v>
      </c>
      <c r="CM3" s="2">
        <v>0.71499999999999997</v>
      </c>
      <c r="CN3" s="2">
        <v>0.87</v>
      </c>
      <c r="CO3" s="2">
        <v>2500000</v>
      </c>
      <c r="CP3" s="2">
        <v>3000000</v>
      </c>
      <c r="CQ3" s="2">
        <v>3500000</v>
      </c>
      <c r="CR3" s="2">
        <v>200000</v>
      </c>
      <c r="CS3" s="2">
        <v>0.52</v>
      </c>
      <c r="CT3" s="2">
        <v>1500000</v>
      </c>
      <c r="CU3" s="2">
        <v>0.13719999999999999</v>
      </c>
      <c r="CV3" s="2">
        <v>2763.06</v>
      </c>
      <c r="CW3" s="2">
        <v>590000</v>
      </c>
      <c r="CX3" s="2">
        <v>2025.65</v>
      </c>
      <c r="CY3" s="2">
        <v>2683.41</v>
      </c>
      <c r="CZ3" s="2">
        <v>3.6479999999999999E-2</v>
      </c>
      <c r="DA3" s="2">
        <v>2.0000000000000001E-4</v>
      </c>
      <c r="DB3" s="2">
        <v>5</v>
      </c>
    </row>
    <row r="4" spans="1:106" x14ac:dyDescent="0.25">
      <c r="H4" s="2">
        <v>1200</v>
      </c>
      <c r="I4" s="2">
        <v>2348.8000000000002</v>
      </c>
      <c r="J4" s="2">
        <v>0</v>
      </c>
      <c r="K4" s="2">
        <v>93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0.1</v>
      </c>
      <c r="X4" s="2">
        <v>2060000</v>
      </c>
      <c r="Y4" s="2">
        <v>353.15</v>
      </c>
      <c r="Z4" s="2">
        <v>0</v>
      </c>
      <c r="AA4" s="2">
        <v>0.1</v>
      </c>
      <c r="AB4" s="2">
        <v>3000000</v>
      </c>
      <c r="AC4" s="2">
        <v>400</v>
      </c>
      <c r="AD4" s="2">
        <v>50</v>
      </c>
      <c r="AE4" s="2">
        <v>1.4E-2</v>
      </c>
      <c r="AF4" s="2">
        <v>6</v>
      </c>
      <c r="AG4" s="2">
        <v>0.05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8.7400000000000005E-2</v>
      </c>
      <c r="AN4" s="2">
        <v>2950</v>
      </c>
      <c r="AO4" s="2">
        <v>3.58</v>
      </c>
      <c r="AP4" s="2">
        <v>2220</v>
      </c>
      <c r="AQ4" s="2">
        <v>62000000000</v>
      </c>
      <c r="AR4" s="2">
        <v>0.4</v>
      </c>
      <c r="AS4" s="2">
        <v>9.859999999999999E-10</v>
      </c>
      <c r="AT4" s="2">
        <v>293.14999999999998</v>
      </c>
      <c r="AU4" s="2">
        <v>0</v>
      </c>
      <c r="AV4" s="2">
        <v>0.63700000000000001</v>
      </c>
      <c r="AW4" s="2">
        <v>2.08</v>
      </c>
      <c r="AX4" s="2">
        <v>0.17</v>
      </c>
      <c r="AY4" s="2">
        <v>1.3726646E-2</v>
      </c>
      <c r="AZ4" s="2">
        <v>0.95</v>
      </c>
      <c r="BA4" s="2">
        <v>1.1999999999999999E-3</v>
      </c>
      <c r="BB4" s="2">
        <v>1.2E-2</v>
      </c>
      <c r="BC4" s="2">
        <v>7.5714880999999998E-2</v>
      </c>
      <c r="BD4" s="2">
        <v>0</v>
      </c>
      <c r="BE4" s="2">
        <v>0.25</v>
      </c>
      <c r="BF4" s="2">
        <v>0.9</v>
      </c>
      <c r="BG4" s="2">
        <v>0</v>
      </c>
      <c r="BH4" s="2">
        <v>0.8</v>
      </c>
      <c r="BI4" s="2">
        <v>3</v>
      </c>
      <c r="BJ4" s="2">
        <v>2.4E-9</v>
      </c>
      <c r="BK4" s="2">
        <v>3.4800000000000001E-8</v>
      </c>
      <c r="BL4" s="2">
        <v>1.1999999999999999E-7</v>
      </c>
      <c r="BM4" s="2">
        <v>6.0000000000000002E-5</v>
      </c>
      <c r="BN4" s="2">
        <v>1.2E-4</v>
      </c>
      <c r="BO4" s="2">
        <v>2.4000000000000001E-4</v>
      </c>
      <c r="BP4" s="2">
        <v>0.15</v>
      </c>
      <c r="BQ4" s="2">
        <v>0.5</v>
      </c>
      <c r="BR4" s="2">
        <v>1.2</v>
      </c>
      <c r="BS4" s="2">
        <v>2.4E-9</v>
      </c>
      <c r="BT4" s="2">
        <v>3.4800000000000001E-8</v>
      </c>
      <c r="BU4" s="2">
        <v>1.1999999999999999E-7</v>
      </c>
      <c r="BV4" s="2">
        <v>3.0000000000000001E-12</v>
      </c>
      <c r="BW4" s="2">
        <v>1.0000000000000001E-9</v>
      </c>
      <c r="BX4" s="2">
        <v>3E-10</v>
      </c>
      <c r="BY4" s="2">
        <v>2.4</v>
      </c>
      <c r="BZ4" s="2">
        <v>2400</v>
      </c>
      <c r="CA4" s="2">
        <v>0</v>
      </c>
      <c r="CB4" s="2">
        <v>0</v>
      </c>
      <c r="CC4" s="2">
        <v>3.6</v>
      </c>
      <c r="CD4" s="2">
        <v>0</v>
      </c>
      <c r="CE4" s="2">
        <v>0</v>
      </c>
      <c r="CF4" s="2">
        <v>40</v>
      </c>
      <c r="CG4" s="2">
        <v>30</v>
      </c>
      <c r="CH4" s="2">
        <v>20</v>
      </c>
      <c r="CI4" s="2">
        <v>0.12717304800000001</v>
      </c>
      <c r="CJ4" s="2">
        <v>0</v>
      </c>
      <c r="CK4" s="2">
        <v>0</v>
      </c>
      <c r="CL4" s="2">
        <v>0.41887901999999999</v>
      </c>
      <c r="CM4" s="2">
        <v>0.73303828599999998</v>
      </c>
      <c r="CN4" s="2">
        <v>1.047197551</v>
      </c>
      <c r="CO4" s="2">
        <v>1200000</v>
      </c>
      <c r="CP4" s="2">
        <v>8400000</v>
      </c>
      <c r="CQ4" s="2">
        <v>18000000</v>
      </c>
      <c r="CR4" s="2">
        <v>300000</v>
      </c>
      <c r="CS4" s="2">
        <v>0.61</v>
      </c>
      <c r="CT4" s="2">
        <v>1800000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147</v>
      </c>
      <c r="K5" t="s">
        <v>358</v>
      </c>
      <c r="L5" t="s">
        <v>147</v>
      </c>
      <c r="M5" t="s">
        <v>147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 t="s">
        <v>359</v>
      </c>
      <c r="X5" t="s">
        <v>358</v>
      </c>
      <c r="Y5" t="s">
        <v>147</v>
      </c>
      <c r="Z5" t="s">
        <v>147</v>
      </c>
      <c r="AA5" t="s">
        <v>359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147</v>
      </c>
      <c r="AU5" t="s">
        <v>147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147</v>
      </c>
      <c r="BB5" t="s">
        <v>147</v>
      </c>
      <c r="BC5" t="s">
        <v>147</v>
      </c>
      <c r="BD5" t="s">
        <v>147</v>
      </c>
      <c r="BE5" t="s">
        <v>147</v>
      </c>
      <c r="BF5" t="s">
        <v>147</v>
      </c>
      <c r="BG5" t="s">
        <v>147</v>
      </c>
      <c r="BH5" t="s">
        <v>147</v>
      </c>
      <c r="BI5" t="s">
        <v>147</v>
      </c>
      <c r="BJ5" t="s">
        <v>147</v>
      </c>
      <c r="BK5" t="s">
        <v>147</v>
      </c>
      <c r="BL5" t="s">
        <v>147</v>
      </c>
      <c r="BM5" t="s">
        <v>147</v>
      </c>
      <c r="BN5" t="s">
        <v>147</v>
      </c>
      <c r="BO5" t="s">
        <v>147</v>
      </c>
      <c r="BP5" t="s">
        <v>147</v>
      </c>
      <c r="BQ5" t="s">
        <v>147</v>
      </c>
      <c r="BR5" t="s">
        <v>147</v>
      </c>
      <c r="BS5" t="s">
        <v>147</v>
      </c>
      <c r="BT5" t="s">
        <v>147</v>
      </c>
      <c r="BU5" t="s">
        <v>147</v>
      </c>
      <c r="BV5" t="s">
        <v>147</v>
      </c>
      <c r="BW5" t="s">
        <v>359</v>
      </c>
      <c r="BX5" t="s">
        <v>147</v>
      </c>
      <c r="BY5" t="s">
        <v>358</v>
      </c>
      <c r="BZ5" t="s">
        <v>358</v>
      </c>
      <c r="CA5" t="s">
        <v>147</v>
      </c>
      <c r="CB5" t="s">
        <v>147</v>
      </c>
      <c r="CC5" t="s">
        <v>358</v>
      </c>
      <c r="CD5" t="s">
        <v>147</v>
      </c>
      <c r="CE5" t="s">
        <v>147</v>
      </c>
      <c r="CF5" t="s">
        <v>147</v>
      </c>
      <c r="CG5" t="s">
        <v>147</v>
      </c>
      <c r="CH5" t="s">
        <v>147</v>
      </c>
      <c r="CI5" t="s">
        <v>358</v>
      </c>
      <c r="CJ5" t="s">
        <v>147</v>
      </c>
      <c r="CK5" t="s">
        <v>147</v>
      </c>
      <c r="CL5" t="s">
        <v>147</v>
      </c>
      <c r="CM5" t="s">
        <v>147</v>
      </c>
      <c r="CN5" t="s">
        <v>147</v>
      </c>
      <c r="CO5" t="s">
        <v>147</v>
      </c>
      <c r="CP5" t="s">
        <v>147</v>
      </c>
      <c r="CQ5" t="s">
        <v>147</v>
      </c>
      <c r="CR5" t="s">
        <v>358</v>
      </c>
      <c r="CS5" t="s">
        <v>147</v>
      </c>
      <c r="CT5" t="s">
        <v>147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  <row r="7" spans="1:106" x14ac:dyDescent="0.25">
      <c r="CB7" s="2"/>
    </row>
    <row r="8" spans="1:106" x14ac:dyDescent="0.25">
      <c r="CB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F729-3A44-4283-9446-208429B23DF6}">
  <dimension ref="A1:DB13"/>
  <sheetViews>
    <sheetView workbookViewId="0">
      <selection activeCell="A5" sqref="A5"/>
    </sheetView>
  </sheetViews>
  <sheetFormatPr defaultColWidth="20.7109375"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2">
        <v>0</v>
      </c>
      <c r="I2" s="2">
        <v>2250</v>
      </c>
      <c r="J2" s="2">
        <v>0</v>
      </c>
      <c r="K2" s="2">
        <v>110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0.04</v>
      </c>
      <c r="X2" s="2">
        <v>9000000</v>
      </c>
      <c r="Y2" s="2">
        <v>288.14999999999998</v>
      </c>
      <c r="Z2" s="2">
        <v>-5000000</v>
      </c>
      <c r="AA2" s="2">
        <v>0.32</v>
      </c>
      <c r="AB2" s="2">
        <v>2400</v>
      </c>
      <c r="AC2" s="2">
        <v>100</v>
      </c>
      <c r="AD2" s="2">
        <v>25</v>
      </c>
      <c r="AE2" s="2">
        <v>0.01</v>
      </c>
      <c r="AF2" s="2">
        <v>4</v>
      </c>
      <c r="AG2" s="2">
        <v>0.03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7.4300000000000005E-2</v>
      </c>
      <c r="AN2" s="2">
        <v>2550</v>
      </c>
      <c r="AO2" s="2">
        <v>2.27</v>
      </c>
      <c r="AP2" s="2">
        <v>1900</v>
      </c>
      <c r="AQ2" s="2">
        <v>55000000000</v>
      </c>
      <c r="AR2" s="2">
        <v>0.26</v>
      </c>
      <c r="AS2" s="2">
        <v>9.8600000000000004E-12</v>
      </c>
      <c r="AT2" s="2">
        <v>273.14999999999998</v>
      </c>
      <c r="AU2" s="2">
        <v>0</v>
      </c>
      <c r="AV2" s="2">
        <v>0.3</v>
      </c>
      <c r="AW2" s="2">
        <v>1.4830000000000001</v>
      </c>
      <c r="AX2" s="2">
        <v>-0.26</v>
      </c>
      <c r="AY2" s="2">
        <v>3.7266460000000001E-3</v>
      </c>
      <c r="AZ2" s="2">
        <v>0.65</v>
      </c>
      <c r="BA2" s="2">
        <v>8.0000000000000004E-4</v>
      </c>
      <c r="BB2" s="2">
        <v>8.0000000000000002E-3</v>
      </c>
      <c r="BC2" s="2">
        <v>5.0476588000000003E-2</v>
      </c>
      <c r="BD2" s="2">
        <v>0</v>
      </c>
      <c r="BE2" s="2">
        <v>0.05</v>
      </c>
      <c r="BF2" s="2">
        <v>0.15</v>
      </c>
      <c r="BG2" s="2">
        <v>0</v>
      </c>
      <c r="BH2" s="2">
        <v>0.4</v>
      </c>
      <c r="BI2" s="2">
        <v>1</v>
      </c>
      <c r="BJ2" s="2">
        <v>1.6000000000000001E-9</v>
      </c>
      <c r="BK2" s="2">
        <v>2.3199999999999999E-8</v>
      </c>
      <c r="BL2" s="2">
        <v>8.0000000000000002E-8</v>
      </c>
      <c r="BM2" s="2">
        <v>4.0000000000000003E-5</v>
      </c>
      <c r="BN2" s="2">
        <v>8.0000000000000007E-5</v>
      </c>
      <c r="BO2" s="2">
        <v>1.6000000000000001E-4</v>
      </c>
      <c r="BP2" s="2">
        <v>0.75</v>
      </c>
      <c r="BQ2" s="2">
        <v>0.82</v>
      </c>
      <c r="BR2" s="2">
        <v>0.95</v>
      </c>
      <c r="BS2" s="2">
        <v>1.6000000000000001E-9</v>
      </c>
      <c r="BT2" s="2">
        <v>2.3199999999999999E-8</v>
      </c>
      <c r="BU2" s="2">
        <v>8.0000000000000002E-8</v>
      </c>
      <c r="BV2" s="2">
        <v>9.9999999999999998E-13</v>
      </c>
      <c r="BW2" s="2">
        <v>9.9999999999999994E-12</v>
      </c>
      <c r="BX2" s="2">
        <v>1E-10</v>
      </c>
      <c r="BY2" s="2">
        <v>1.6</v>
      </c>
      <c r="BZ2" s="2">
        <v>1600</v>
      </c>
      <c r="CA2" s="2">
        <v>0</v>
      </c>
      <c r="CB2" s="2">
        <v>0</v>
      </c>
      <c r="CC2" s="2">
        <v>2.4</v>
      </c>
      <c r="CD2" s="2">
        <v>0</v>
      </c>
      <c r="CE2" s="2">
        <v>0</v>
      </c>
      <c r="CF2" s="2">
        <v>10</v>
      </c>
      <c r="CG2" s="2">
        <v>7</v>
      </c>
      <c r="CH2" s="2">
        <v>3</v>
      </c>
      <c r="CI2" s="2">
        <v>0.117173048</v>
      </c>
      <c r="CJ2" s="2">
        <v>0</v>
      </c>
      <c r="CK2" s="2">
        <v>0</v>
      </c>
      <c r="CL2" s="2">
        <v>0.27925267999999998</v>
      </c>
      <c r="CM2" s="2">
        <v>0.488692191</v>
      </c>
      <c r="CN2" s="2">
        <v>0.69813170099999999</v>
      </c>
      <c r="CO2" s="2">
        <v>800000</v>
      </c>
      <c r="CP2" s="2">
        <v>5600000</v>
      </c>
      <c r="CQ2" s="2">
        <v>12000000</v>
      </c>
      <c r="CR2">
        <v>80000</v>
      </c>
      <c r="CS2" s="2">
        <v>0.41887902047863901</v>
      </c>
      <c r="CT2" s="2">
        <v>1200000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</row>
    <row r="3" spans="1:106" x14ac:dyDescent="0.25">
      <c r="B3" t="s">
        <v>364</v>
      </c>
      <c r="C3" t="s">
        <v>364</v>
      </c>
      <c r="D3" s="1">
        <v>2000</v>
      </c>
      <c r="E3" t="s">
        <v>362</v>
      </c>
      <c r="F3" t="s">
        <v>360</v>
      </c>
      <c r="G3" t="s">
        <v>368</v>
      </c>
      <c r="H3" s="2">
        <v>300</v>
      </c>
      <c r="I3" s="2">
        <v>2338.6152003673201</v>
      </c>
      <c r="J3" s="2">
        <v>1</v>
      </c>
      <c r="K3" s="2">
        <v>111</v>
      </c>
      <c r="L3" s="2">
        <v>990</v>
      </c>
      <c r="M3" s="2">
        <v>0.9</v>
      </c>
      <c r="N3" s="2">
        <v>1.6579999999999999</v>
      </c>
      <c r="O3" s="2">
        <v>3.49E-2</v>
      </c>
      <c r="P3" s="2">
        <v>3.927</v>
      </c>
      <c r="Q3" s="2">
        <v>0</v>
      </c>
      <c r="R3" s="2">
        <v>0</v>
      </c>
      <c r="S3" s="2">
        <v>8.8900000000000007E-2</v>
      </c>
      <c r="T3" s="2">
        <v>0.1016</v>
      </c>
      <c r="U3" s="2">
        <v>0.127</v>
      </c>
      <c r="V3" s="2">
        <v>80</v>
      </c>
      <c r="W3" s="2">
        <v>4.7E-2</v>
      </c>
      <c r="X3" s="2">
        <v>10000000</v>
      </c>
      <c r="Y3" s="2">
        <v>294.6569600146745</v>
      </c>
      <c r="Z3" s="2">
        <v>0</v>
      </c>
      <c r="AA3" s="2">
        <v>0.42685683828960003</v>
      </c>
      <c r="AB3" s="2">
        <v>2683.5241207671402</v>
      </c>
      <c r="AC3" s="2">
        <v>200</v>
      </c>
      <c r="AD3" s="2">
        <v>57.3591031475097</v>
      </c>
      <c r="AE3" s="2">
        <v>1.26077730570134E-2</v>
      </c>
      <c r="AF3" s="2">
        <v>4.0545703903906301</v>
      </c>
      <c r="AG3" s="2">
        <v>3.04129665024001E-2</v>
      </c>
      <c r="AH3" s="2">
        <v>1000</v>
      </c>
      <c r="AI3" s="2">
        <v>3.0000000000000001E-3</v>
      </c>
      <c r="AJ3" s="2">
        <v>90</v>
      </c>
      <c r="AK3" s="2">
        <v>100000</v>
      </c>
      <c r="AL3" s="2">
        <v>1</v>
      </c>
      <c r="AM3" s="2">
        <v>7.4999999999999997E-2</v>
      </c>
      <c r="AN3" s="2">
        <v>2750</v>
      </c>
      <c r="AO3" s="2">
        <v>2.500538862</v>
      </c>
      <c r="AP3" s="2">
        <v>2160.270082</v>
      </c>
      <c r="AQ3" s="2">
        <v>55264500000</v>
      </c>
      <c r="AR3" s="2">
        <v>0.27537041600000001</v>
      </c>
      <c r="AS3" s="2">
        <v>1.56E-10</v>
      </c>
      <c r="AT3" s="2">
        <v>283.14999999999998</v>
      </c>
      <c r="AU3" s="2">
        <v>101000</v>
      </c>
      <c r="AV3" s="2">
        <v>0.43014197864944897</v>
      </c>
      <c r="AW3" s="2">
        <v>1.77746220944488</v>
      </c>
      <c r="AX3" s="2">
        <v>0.13021639355520401</v>
      </c>
      <c r="AY3" s="2">
        <v>4.2159110000000001E-3</v>
      </c>
      <c r="AZ3" s="2">
        <v>0.75</v>
      </c>
      <c r="BA3" s="2">
        <v>1E-3</v>
      </c>
      <c r="BB3" s="2">
        <v>0.01</v>
      </c>
      <c r="BC3" s="2">
        <v>6.3E-2</v>
      </c>
      <c r="BD3" s="2">
        <v>0</v>
      </c>
      <c r="BE3" s="2">
        <v>0.118672860225961</v>
      </c>
      <c r="BF3" s="2">
        <v>0.231138059327332</v>
      </c>
      <c r="BG3" s="2">
        <v>0</v>
      </c>
      <c r="BH3" s="2">
        <v>0.6</v>
      </c>
      <c r="BI3" s="2">
        <v>2</v>
      </c>
      <c r="BJ3" s="2">
        <v>2.4999999999999999E-8</v>
      </c>
      <c r="BK3" s="2">
        <v>2.85E-8</v>
      </c>
      <c r="BL3" s="2">
        <v>3.2000000000000002E-8</v>
      </c>
      <c r="BM3" s="2">
        <v>5.0000000000000002E-5</v>
      </c>
      <c r="BN3" s="2">
        <v>9.0000000000000006E-5</v>
      </c>
      <c r="BO3" s="2">
        <v>1.4999999999999999E-4</v>
      </c>
      <c r="BP3" s="2">
        <v>0.82</v>
      </c>
      <c r="BQ3" s="2">
        <v>0.91</v>
      </c>
      <c r="BR3" s="2">
        <v>0.97</v>
      </c>
      <c r="BS3" s="2">
        <v>2.0000000000000001E-9</v>
      </c>
      <c r="BT3" s="2">
        <v>2.8999999999999999E-9</v>
      </c>
      <c r="BU3" s="2">
        <v>9.9999999999999995E-8</v>
      </c>
      <c r="BV3" s="2">
        <v>1.7265941544677E-12</v>
      </c>
      <c r="BW3" s="2">
        <v>1.0778030174777E-11</v>
      </c>
      <c r="BX3" s="2">
        <v>2.3511451581456299E-10</v>
      </c>
      <c r="BY3" s="2">
        <v>2.310157931</v>
      </c>
      <c r="BZ3" s="2">
        <v>2041.745017</v>
      </c>
      <c r="CA3" s="2">
        <v>0.85</v>
      </c>
      <c r="CB3" s="2">
        <v>473050000</v>
      </c>
      <c r="CC3" s="2">
        <v>2.9609222129999999</v>
      </c>
      <c r="CD3" s="2">
        <v>965</v>
      </c>
      <c r="CE3" s="2">
        <v>2.0000000000000001E-4</v>
      </c>
      <c r="CF3" s="2">
        <v>20</v>
      </c>
      <c r="CG3" s="2">
        <v>10</v>
      </c>
      <c r="CH3" s="2">
        <v>5</v>
      </c>
      <c r="CI3" s="2">
        <v>0.124006531</v>
      </c>
      <c r="CJ3" s="2">
        <v>50</v>
      </c>
      <c r="CK3" s="2">
        <v>500</v>
      </c>
      <c r="CL3" s="2">
        <v>0.56000000000000005</v>
      </c>
      <c r="CM3" s="2">
        <v>0.71499999999999997</v>
      </c>
      <c r="CN3" s="2">
        <v>0.87</v>
      </c>
      <c r="CO3" s="2">
        <v>2500000</v>
      </c>
      <c r="CP3" s="2">
        <v>3000000</v>
      </c>
      <c r="CQ3" s="2">
        <v>3500000</v>
      </c>
      <c r="CR3">
        <v>100000</v>
      </c>
      <c r="CS3" s="2">
        <v>0.52359877559829804</v>
      </c>
      <c r="CT3" s="2">
        <v>1500000</v>
      </c>
      <c r="CU3" s="2">
        <v>0.13719999999999999</v>
      </c>
      <c r="CV3" s="2">
        <v>2763.06</v>
      </c>
      <c r="CW3" s="2">
        <v>590000</v>
      </c>
      <c r="CX3" s="2">
        <v>2025.65</v>
      </c>
      <c r="CY3" s="2">
        <v>2683.41</v>
      </c>
      <c r="CZ3" s="2">
        <v>3.6479999999999999E-2</v>
      </c>
      <c r="DA3" s="2">
        <v>2.0000000000000001E-4</v>
      </c>
      <c r="DB3" s="2">
        <v>5</v>
      </c>
    </row>
    <row r="4" spans="1:106" x14ac:dyDescent="0.25">
      <c r="H4" s="2">
        <v>1200</v>
      </c>
      <c r="I4" s="2">
        <v>2350</v>
      </c>
      <c r="J4" s="2">
        <v>0</v>
      </c>
      <c r="K4" s="2">
        <v>112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6.0999999999999999E-2</v>
      </c>
      <c r="X4" s="2">
        <v>11000000</v>
      </c>
      <c r="Y4" s="2">
        <v>298.14999999999998</v>
      </c>
      <c r="Z4" s="2">
        <v>5000000</v>
      </c>
      <c r="AA4" s="2">
        <v>0.48</v>
      </c>
      <c r="AB4" s="2">
        <v>2860</v>
      </c>
      <c r="AC4" s="2">
        <v>400</v>
      </c>
      <c r="AD4" s="2">
        <v>75</v>
      </c>
      <c r="AE4" s="2">
        <v>1.4E-2</v>
      </c>
      <c r="AF4" s="2">
        <v>6</v>
      </c>
      <c r="AG4" s="2">
        <v>3.7999999999999999E-2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8.1699999999999995E-2</v>
      </c>
      <c r="AN4" s="2">
        <v>2950</v>
      </c>
      <c r="AO4" s="2">
        <v>3.58</v>
      </c>
      <c r="AP4" s="2">
        <v>2220</v>
      </c>
      <c r="AQ4" s="2">
        <v>62000000000</v>
      </c>
      <c r="AR4" s="2">
        <v>0.4</v>
      </c>
      <c r="AS4" s="2">
        <v>9.859999999999999E-10</v>
      </c>
      <c r="AT4" s="2">
        <v>293.14999999999998</v>
      </c>
      <c r="AU4" s="2">
        <v>0</v>
      </c>
      <c r="AV4" s="2">
        <v>0.6</v>
      </c>
      <c r="AW4" s="2">
        <v>2.0070000000000001</v>
      </c>
      <c r="AX4" s="2">
        <v>0.26</v>
      </c>
      <c r="AY4" s="2">
        <v>1.3726646E-2</v>
      </c>
      <c r="AZ4" s="2">
        <v>0.95</v>
      </c>
      <c r="BA4" s="2">
        <v>1.1999999999999999E-3</v>
      </c>
      <c r="BB4" s="2">
        <v>1.2E-2</v>
      </c>
      <c r="BC4" s="2">
        <v>7.5714880999999998E-2</v>
      </c>
      <c r="BD4" s="2">
        <v>0</v>
      </c>
      <c r="BE4" s="2">
        <v>0.15</v>
      </c>
      <c r="BF4" s="2">
        <v>0.25</v>
      </c>
      <c r="BG4" s="2">
        <v>0</v>
      </c>
      <c r="BH4" s="2">
        <v>0.8</v>
      </c>
      <c r="BI4" s="2">
        <v>3</v>
      </c>
      <c r="BJ4" s="2">
        <v>2.4E-9</v>
      </c>
      <c r="BK4" s="2">
        <v>3.4800000000000001E-8</v>
      </c>
      <c r="BL4" s="2">
        <v>1.1999999999999999E-7</v>
      </c>
      <c r="BM4" s="2">
        <v>6.0000000000000002E-5</v>
      </c>
      <c r="BN4" s="2">
        <v>1.2E-4</v>
      </c>
      <c r="BO4" s="2">
        <v>2.4000000000000001E-4</v>
      </c>
      <c r="BP4" s="2">
        <v>0.9</v>
      </c>
      <c r="BQ4" s="2">
        <v>0.95</v>
      </c>
      <c r="BR4" s="2">
        <v>0.99</v>
      </c>
      <c r="BS4" s="2">
        <v>2.4E-9</v>
      </c>
      <c r="BT4" s="2">
        <v>3.4800000000000001E-8</v>
      </c>
      <c r="BU4" s="2">
        <v>1.1999999999999999E-7</v>
      </c>
      <c r="BV4" s="2">
        <v>3.0000000000000001E-12</v>
      </c>
      <c r="BW4" s="2">
        <v>3E-11</v>
      </c>
      <c r="BX4" s="2">
        <v>3E-10</v>
      </c>
      <c r="BY4" s="2">
        <v>2.4</v>
      </c>
      <c r="BZ4" s="2">
        <v>2400</v>
      </c>
      <c r="CA4" s="2">
        <v>0</v>
      </c>
      <c r="CB4" s="2">
        <v>0</v>
      </c>
      <c r="CC4" s="2">
        <v>3.6</v>
      </c>
      <c r="CD4" s="2">
        <v>0</v>
      </c>
      <c r="CE4" s="2">
        <v>0</v>
      </c>
      <c r="CF4" s="2">
        <v>40</v>
      </c>
      <c r="CG4" s="2">
        <v>30</v>
      </c>
      <c r="CH4" s="2">
        <v>20</v>
      </c>
      <c r="CI4" s="2">
        <v>0.12717304800000001</v>
      </c>
      <c r="CJ4" s="2">
        <v>0</v>
      </c>
      <c r="CK4" s="2">
        <v>0</v>
      </c>
      <c r="CL4" s="2">
        <v>0.41887901999999999</v>
      </c>
      <c r="CM4" s="2">
        <v>0.73303828599999998</v>
      </c>
      <c r="CN4" s="2">
        <v>1.047197551</v>
      </c>
      <c r="CO4" s="2">
        <v>1200000</v>
      </c>
      <c r="CP4" s="2">
        <v>8400000</v>
      </c>
      <c r="CQ4" s="2">
        <v>18000000</v>
      </c>
      <c r="CR4">
        <v>120000</v>
      </c>
      <c r="CS4" s="2">
        <v>0.62831853071795796</v>
      </c>
      <c r="CT4" s="2">
        <v>1800000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147</v>
      </c>
      <c r="K5" t="s">
        <v>358</v>
      </c>
      <c r="L5" t="s">
        <v>147</v>
      </c>
      <c r="M5" t="s">
        <v>147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 t="s">
        <v>359</v>
      </c>
      <c r="X5" t="s">
        <v>358</v>
      </c>
      <c r="Y5" t="s">
        <v>358</v>
      </c>
      <c r="Z5" t="s">
        <v>358</v>
      </c>
      <c r="AA5" t="s">
        <v>359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358</v>
      </c>
      <c r="AU5" t="s">
        <v>147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358</v>
      </c>
      <c r="BB5" t="s">
        <v>358</v>
      </c>
      <c r="BC5" t="s">
        <v>358</v>
      </c>
      <c r="BD5" t="s">
        <v>358</v>
      </c>
      <c r="BE5" t="s">
        <v>358</v>
      </c>
      <c r="BF5" t="s">
        <v>358</v>
      </c>
      <c r="BG5" t="s">
        <v>358</v>
      </c>
      <c r="BH5" t="s">
        <v>358</v>
      </c>
      <c r="BI5" t="s">
        <v>358</v>
      </c>
      <c r="BJ5" t="s">
        <v>358</v>
      </c>
      <c r="BK5" t="s">
        <v>358</v>
      </c>
      <c r="BL5" t="s">
        <v>358</v>
      </c>
      <c r="BM5" t="s">
        <v>358</v>
      </c>
      <c r="BN5" t="s">
        <v>358</v>
      </c>
      <c r="BO5" t="s">
        <v>358</v>
      </c>
      <c r="BP5" t="s">
        <v>358</v>
      </c>
      <c r="BQ5" t="s">
        <v>358</v>
      </c>
      <c r="BR5" t="s">
        <v>358</v>
      </c>
      <c r="BS5" t="s">
        <v>358</v>
      </c>
      <c r="BT5" t="s">
        <v>358</v>
      </c>
      <c r="BU5" t="s">
        <v>358</v>
      </c>
      <c r="BV5" t="s">
        <v>358</v>
      </c>
      <c r="BW5" t="s">
        <v>358</v>
      </c>
      <c r="BX5" t="s">
        <v>358</v>
      </c>
      <c r="BY5" t="s">
        <v>358</v>
      </c>
      <c r="BZ5" t="s">
        <v>358</v>
      </c>
      <c r="CA5" t="s">
        <v>147</v>
      </c>
      <c r="CB5" t="s">
        <v>147</v>
      </c>
      <c r="CC5" t="s">
        <v>358</v>
      </c>
      <c r="CD5" t="s">
        <v>147</v>
      </c>
      <c r="CE5" t="s">
        <v>147</v>
      </c>
      <c r="CF5" t="s">
        <v>147</v>
      </c>
      <c r="CG5" t="s">
        <v>147</v>
      </c>
      <c r="CH5" t="s">
        <v>147</v>
      </c>
      <c r="CI5" t="s">
        <v>358</v>
      </c>
      <c r="CJ5" t="s">
        <v>147</v>
      </c>
      <c r="CK5" t="s">
        <v>147</v>
      </c>
      <c r="CL5" t="s">
        <v>358</v>
      </c>
      <c r="CM5" t="s">
        <v>358</v>
      </c>
      <c r="CN5" t="s">
        <v>358</v>
      </c>
      <c r="CO5" t="s">
        <v>358</v>
      </c>
      <c r="CP5" t="s">
        <v>358</v>
      </c>
      <c r="CQ5" t="s">
        <v>358</v>
      </c>
      <c r="CR5" t="s">
        <v>358</v>
      </c>
      <c r="CS5" t="s">
        <v>358</v>
      </c>
      <c r="CT5" t="s">
        <v>358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  <row r="8" spans="1:106" x14ac:dyDescent="0.25">
      <c r="K8" s="1"/>
      <c r="W8" s="1"/>
      <c r="X8" s="1"/>
      <c r="AD8" s="1"/>
      <c r="AF8" s="1"/>
      <c r="AN8" s="1"/>
      <c r="AP8" s="1"/>
      <c r="AQ8" s="1"/>
      <c r="BJ8" s="1"/>
      <c r="BK8" s="1"/>
      <c r="BL8" s="1"/>
      <c r="BM8" s="1"/>
      <c r="BN8" s="1"/>
      <c r="BS8" s="1"/>
      <c r="BT8" s="1"/>
      <c r="BU8" s="1"/>
      <c r="BV8" s="1"/>
      <c r="BW8" s="1"/>
      <c r="BX8" s="1"/>
      <c r="CF8" s="1"/>
      <c r="CG8" s="1"/>
      <c r="CH8" s="1"/>
    </row>
    <row r="9" spans="1:106" x14ac:dyDescent="0.25">
      <c r="D9" s="1"/>
      <c r="W9" s="1"/>
      <c r="AQ9" s="1"/>
      <c r="BJ9" s="1"/>
      <c r="BK9" s="1"/>
      <c r="BL9" s="1"/>
      <c r="BM9" s="1"/>
      <c r="BN9" s="1"/>
      <c r="BS9" s="1"/>
      <c r="BT9" s="1"/>
      <c r="BU9" s="1"/>
      <c r="BV9" s="1"/>
      <c r="BW9" s="1"/>
      <c r="BX9" s="1"/>
      <c r="CK9" s="1"/>
    </row>
    <row r="10" spans="1:106" x14ac:dyDescent="0.25">
      <c r="K10" s="1"/>
      <c r="W10" s="1"/>
      <c r="X10" s="1"/>
      <c r="AD10" s="1"/>
      <c r="AF10" s="1"/>
      <c r="AN10" s="1"/>
      <c r="AP10" s="1"/>
      <c r="AQ10" s="1"/>
      <c r="BJ10" s="1"/>
      <c r="BK10" s="1"/>
      <c r="BL10" s="1"/>
      <c r="BM10" s="1"/>
      <c r="BS10" s="1"/>
      <c r="BT10" s="1"/>
      <c r="BU10" s="1"/>
      <c r="BV10" s="1"/>
      <c r="BW10" s="1"/>
      <c r="BX10" s="1"/>
      <c r="CF10" s="1"/>
      <c r="CG10" s="1"/>
      <c r="CH10" s="1"/>
    </row>
    <row r="13" spans="1:106" x14ac:dyDescent="0.25">
      <c r="C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TULAROSA.gts</vt:lpstr>
      <vt:lpstr>DEFAULT.gts</vt:lpstr>
      <vt:lpstr>FULL.gts</vt:lpstr>
      <vt:lpstr>FORGE.gts</vt:lpstr>
      <vt:lpstr>PRED.gts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Frash</dc:creator>
  <cp:lastModifiedBy>Frash, Luke Philip</cp:lastModifiedBy>
  <dcterms:created xsi:type="dcterms:W3CDTF">2024-08-02T21:33:38Z</dcterms:created>
  <dcterms:modified xsi:type="dcterms:W3CDTF">2024-11-16T16:41:01Z</dcterms:modified>
</cp:coreProperties>
</file>